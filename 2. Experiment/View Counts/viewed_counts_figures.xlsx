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View Counts\"/>
    </mc:Choice>
  </mc:AlternateContent>
  <xr:revisionPtr revIDLastSave="0" documentId="13_ncr:1_{8EA09168-B992-4E9D-972F-01307F886E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egory" sheetId="1" r:id="rId1"/>
    <sheet name="category+languages" sheetId="2" r:id="rId2"/>
    <sheet name="languages" sheetId="3" r:id="rId3"/>
    <sheet name="by time" sheetId="4" r:id="rId4"/>
    <sheet name="distribution" sheetId="5" r:id="rId5"/>
  </sheets>
  <externalReferences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4" i="1" l="1"/>
  <c r="O55" i="1"/>
  <c r="O56" i="1"/>
  <c r="O57" i="1"/>
  <c r="O58" i="1"/>
  <c r="O59" i="1"/>
  <c r="O60" i="1"/>
  <c r="O61" i="1"/>
  <c r="O62" i="1"/>
  <c r="O53" i="1"/>
  <c r="O52" i="1"/>
  <c r="O41" i="1"/>
  <c r="O42" i="1"/>
  <c r="O43" i="1"/>
  <c r="O44" i="1"/>
  <c r="O45" i="1"/>
  <c r="O46" i="1"/>
  <c r="O40" i="1"/>
  <c r="O39" i="1"/>
  <c r="AA16" i="4"/>
  <c r="N16" i="4"/>
  <c r="AA15" i="4"/>
  <c r="N15" i="4"/>
  <c r="AA14" i="4"/>
  <c r="N14" i="4"/>
  <c r="AA13" i="4"/>
  <c r="N13" i="4"/>
  <c r="AA12" i="4"/>
  <c r="N12" i="4"/>
  <c r="AA11" i="4"/>
  <c r="N11" i="4"/>
  <c r="AA10" i="4"/>
  <c r="N10" i="4"/>
  <c r="AA9" i="4"/>
  <c r="N9" i="4"/>
  <c r="AA8" i="4"/>
  <c r="N8" i="4"/>
  <c r="AA7" i="4"/>
  <c r="N7" i="4"/>
  <c r="AA6" i="4"/>
  <c r="N6" i="4"/>
  <c r="AA5" i="4"/>
  <c r="N5" i="4"/>
  <c r="AA4" i="4"/>
  <c r="N4" i="4"/>
  <c r="O31" i="1"/>
  <c r="O30" i="1"/>
  <c r="O29" i="1"/>
  <c r="O28" i="1"/>
  <c r="O27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<sst xmlns="http://schemas.openxmlformats.org/spreadsheetml/2006/main" count="8359" uniqueCount="2920">
  <si>
    <t>link</t>
  </si>
  <si>
    <t>viewed_counts</t>
  </si>
  <si>
    <t>create time</t>
  </si>
  <si>
    <t>active time</t>
  </si>
  <si>
    <t>author</t>
  </si>
  <si>
    <t>reputation</t>
  </si>
  <si>
    <t>answer quantity</t>
  </si>
  <si>
    <t>combination</t>
  </si>
  <si>
    <t>SDLC</t>
  </si>
  <si>
    <t>Symptoms</t>
  </si>
  <si>
    <t>Taxonomy_Second</t>
  </si>
  <si>
    <t>Taxonomy_Third</t>
  </si>
  <si>
    <t>https://stackoverflow.com/questions/50149603/could-wasm-be-used-to-check-integrity-of-a-js-method</t>
  </si>
  <si>
    <t>2018-05-03 07:47:46Z</t>
  </si>
  <si>
    <t>2018-05-12 14:44:19Z</t>
  </si>
  <si>
    <t>Shlomi Schwartz</t>
  </si>
  <si>
    <t>javascript,c,security,emscripten,webassembly</t>
  </si>
  <si>
    <t>Coding</t>
  </si>
  <si>
    <t>Interfacing</t>
  </si>
  <si>
    <t>Interfacing choice</t>
  </si>
  <si>
    <t>https://stackoverflow.com/questions/4377109/shell-script-execute-a-python-program-from-within-a-shell-script</t>
  </si>
  <si>
    <t>2010-12-07 13:30:53Z</t>
  </si>
  <si>
    <t>2021-07-18 17:16:47Z</t>
  </si>
  <si>
    <t>Harpal</t>
  </si>
  <si>
    <t>python,shell</t>
  </si>
  <si>
    <t>https://stackoverflow.com/questions/38199051/boost-python-make-constructor-and-custodians-and-ward</t>
  </si>
  <si>
    <t>2016-07-05 08:50:19Z</t>
  </si>
  <si>
    <t>2020-06-22 17:17:25Z</t>
  </si>
  <si>
    <t>helloworld922</t>
  </si>
  <si>
    <t>python,c++,boost-python</t>
  </si>
  <si>
    <t>Build</t>
  </si>
  <si>
    <t>https://stackoverflow.com/questions/4167233/how-do-i-pass-arrays-from-java-to-c-using-swig</t>
  </si>
  <si>
    <t>2010-11-12 17:12:44Z</t>
  </si>
  <si>
    <t>2011-06-21 18:48:40Z</t>
  </si>
  <si>
    <t>Jason</t>
  </si>
  <si>
    <t>java,c++,swig</t>
  </si>
  <si>
    <t>Data handling</t>
  </si>
  <si>
    <t>Interoperability</t>
  </si>
  <si>
    <t>https://stackoverflow.com/questions/11926340/how-to-pass-a-c-object-to-another-c-object-with-boost-python</t>
  </si>
  <si>
    <t>2012-08-12 22:25:42Z</t>
  </si>
  <si>
    <t>2012-08-15 21:03:43Z</t>
  </si>
  <si>
    <t>davidA</t>
  </si>
  <si>
    <t>c++,python,boost,boost-python</t>
  </si>
  <si>
    <t>Invocation mechanism</t>
  </si>
  <si>
    <t>Explicit interfacing</t>
  </si>
  <si>
    <t>https://stackoverflow.com/questions/33326699/passing-laravel-array-in-javascript</t>
  </si>
  <si>
    <t>2015-10-25 05:58:19Z</t>
  </si>
  <si>
    <t>2021-08-13 08:51:07Z</t>
  </si>
  <si>
    <t>senty</t>
  </si>
  <si>
    <t>javascript,php,jquery,arrays,laravel</t>
  </si>
  <si>
    <t>Data format/compatibility</t>
  </si>
  <si>
    <t>https://stackoverflow.com/questions/15485354/angularjs-http-post-to-php-and-undefined</t>
  </si>
  <si>
    <t>2013-03-18 19:35:06Z</t>
  </si>
  <si>
    <t>2019-05-18 17:44:53Z</t>
  </si>
  <si>
    <t>Ronnie</t>
  </si>
  <si>
    <t>php,javascript,angularjs</t>
  </si>
  <si>
    <t>https://stackoverflow.com/questions/21278915/getting-to-interactive-django-shell-in-pydev</t>
  </si>
  <si>
    <t>2014-01-22 09:28:47Z</t>
  </si>
  <si>
    <t>2017-06-23 18:18:18Z</t>
  </si>
  <si>
    <t>Jamie Bull</t>
  </si>
  <si>
    <t>python,django,eclipse,shell,pydev</t>
  </si>
  <si>
    <t>https://stackoverflow.com/questions/14661249/java-jni-creating-a-swing-window-using-jni-from-c</t>
  </si>
  <si>
    <t>2013-02-02 11:09:57Z</t>
  </si>
  <si>
    <t>2014-05-01 16:58:39Z</t>
  </si>
  <si>
    <t>scravy</t>
  </si>
  <si>
    <t>java,c,swing,java-native-interface,awt</t>
  </si>
  <si>
    <t>https://stackoverflow.com/questions/21153805/convert-php-associative-array-into-javascript-object</t>
  </si>
  <si>
    <t>2014-01-16 05:11:19Z</t>
  </si>
  <si>
    <t>2020-04-14 16:11:19Z</t>
  </si>
  <si>
    <t>Growler</t>
  </si>
  <si>
    <t>javascript,php,jquery,arrays</t>
  </si>
  <si>
    <t>https://stackoverflow.com/questions/29745584/using-getdirectbufferaddress-from-jni</t>
  </si>
  <si>
    <t>2015-04-20 10:39:20Z</t>
  </si>
  <si>
    <t>2020-12-16 15:55:54Z</t>
  </si>
  <si>
    <t>malat</t>
  </si>
  <si>
    <t>java,c,java-native-interface</t>
  </si>
  <si>
    <t>https://stackoverflow.com/questions/44123252/detecting-c-types-limits-limits-h-in-python</t>
  </si>
  <si>
    <t>2017-05-22 22:48:50Z</t>
  </si>
  <si>
    <t>2017-05-22 23:03:08Z</t>
  </si>
  <si>
    <t>vmonteco</t>
  </si>
  <si>
    <t>python,c,limit,ctypes</t>
  </si>
  <si>
    <t>https://stackoverflow.com/questions/2566764/encode-compress-sequence-of-repeating-integers</t>
  </si>
  <si>
    <t>2010-04-02 13:05:33Z</t>
  </si>
  <si>
    <t>2015-07-16 06:26:27Z</t>
  </si>
  <si>
    <t>Alex</t>
  </si>
  <si>
    <t>php,javascript,sequence,encode,compression</t>
  </si>
  <si>
    <t>https://stackoverflow.com/questions/8654519/what-happens-if-i-call-a-java-function-from-multiple-threads-from-c-with-jni</t>
  </si>
  <si>
    <t>2011-12-28 10:15:45Z</t>
  </si>
  <si>
    <t>2011-12-28 12:07:21Z</t>
  </si>
  <si>
    <t>Blub</t>
  </si>
  <si>
    <t>java,c,java-native-interface,pthreads</t>
  </si>
  <si>
    <t>Design</t>
  </si>
  <si>
    <t>https://stackoverflow.com/questions/2462230/interacting-with-java-code-from-c-sharp</t>
  </si>
  <si>
    <t>2010-03-17 12:44:57Z</t>
  </si>
  <si>
    <t>2012-08-03 21:14:06Z</t>
  </si>
  <si>
    <t>Kasper Holdum</t>
  </si>
  <si>
    <t>c#,java,.net,cross-language</t>
  </si>
  <si>
    <t>https://stackoverflow.com/questions/46420476/polymorphic-exception-handling-how-to-catch-subclass-exception</t>
  </si>
  <si>
    <t>2017-09-26 07:41:23Z</t>
  </si>
  <si>
    <t>2017-11-23 08:59:34Z</t>
  </si>
  <si>
    <t>SkyWalker</t>
  </si>
  <si>
    <t>python,c++,exception,boost,boost-python</t>
  </si>
  <si>
    <t>Error/Exception handling</t>
  </si>
  <si>
    <t>https://stackoverflow.com/questions/39193510/how-to-insert-arbitrary-json-in-htmls-script-tag</t>
  </si>
  <si>
    <t>2016-08-28 16:39:16Z</t>
  </si>
  <si>
    <t>2019-09-05 21:26:30Z</t>
  </si>
  <si>
    <t>hyperknot</t>
  </si>
  <si>
    <t>javascript,python,html,json,xss</t>
  </si>
  <si>
    <t>https://stackoverflow.com/questions/2663429/what-is-the-best-way-to-identify-which-form-has-been-submitted</t>
  </si>
  <si>
    <t>2010-04-18 18:40:01Z</t>
  </si>
  <si>
    <t>2013-04-11 06:14:01Z</t>
  </si>
  <si>
    <t>Rupert Madden-Abbott</t>
  </si>
  <si>
    <t>php,javascript</t>
  </si>
  <si>
    <t>https://stackoverflow.com/questions/58927296/adding-utf-8-support-to-js-php-script</t>
  </si>
  <si>
    <t>2019-11-19 05:36:52Z</t>
  </si>
  <si>
    <t>2019-11-24 13:36:41Z</t>
  </si>
  <si>
    <t>santa</t>
  </si>
  <si>
    <t>javascript,php,mysql,ajax,utf-8</t>
  </si>
  <si>
    <t>https://stackoverflow.com/questions/799076/returning-a-stdstring-from-a-c-dll-to-a-c-sharp-program-invalid-address-s</t>
  </si>
  <si>
    <t>2009-04-28 17:42:21Z</t>
  </si>
  <si>
    <t>2016-03-30 10:08:03Z</t>
  </si>
  <si>
    <t>djcouchycouch</t>
  </si>
  <si>
    <t>c#,c++,string,marshalling</t>
  </si>
  <si>
    <t>https://stackoverflow.com/questions/39948485/how-can-i-convert-python-boolean-object-to-c-int-or-c-boolean-python-c-api</t>
  </si>
  <si>
    <t>2016-10-09 21:00:18Z</t>
  </si>
  <si>
    <t>2018-06-12 18:25:01Z</t>
  </si>
  <si>
    <t>Petr</t>
  </si>
  <si>
    <t>python,c,python-c-api</t>
  </si>
  <si>
    <t>https://stackoverflow.com/questions/29733594/thymeleaf-print-json-string-as-json-object-into-a-javascript-variable</t>
  </si>
  <si>
    <t>2015-04-19 17:53:32Z</t>
  </si>
  <si>
    <t>2016-05-27 16:55:15Z</t>
  </si>
  <si>
    <t>Faraj Farook</t>
  </si>
  <si>
    <t>java,javascript,json,spring-mvc,thymeleaf</t>
  </si>
  <si>
    <t>https://stackoverflow.com/questions/44331769/how-to-post-a-tweet-using-codebird-php-from-pop-up-window</t>
  </si>
  <si>
    <t>2017-06-02 14:50:46Z</t>
  </si>
  <si>
    <t>2017-06-21 00:54:55Z</t>
  </si>
  <si>
    <t>APAD1</t>
  </si>
  <si>
    <t>javascript,php,jquery,twitter,codebird</t>
  </si>
  <si>
    <t>Embedding</t>
  </si>
  <si>
    <t>https://stackoverflow.com/questions/473029/how-can-i-get-the-full-backtrace-in-spidermonkey-jsapi-from-my-reporterror-fun</t>
  </si>
  <si>
    <t>2009-01-23 14:18:01Z</t>
  </si>
  <si>
    <t>2017-04-27 06:55:44Z</t>
  </si>
  <si>
    <t>Chris Farmiloe</t>
  </si>
  <si>
    <t>javascript,c,spidermonkey,jsapi</t>
  </si>
  <si>
    <t>https://stackoverflow.com/questions/4365738/how-to-access-php-session-variables-from-jquery-function-in-a-js-file</t>
  </si>
  <si>
    <t>2010-12-06 11:08:32Z</t>
  </si>
  <si>
    <t>2017-11-24 09:19:49Z</t>
  </si>
  <si>
    <t>Ahmad Farid</t>
  </si>
  <si>
    <t>php,javascript,jquery</t>
  </si>
  <si>
    <t>https://stackoverflow.com/questions/4591461/marshalling-a-char-in-c-sharp</t>
  </si>
  <si>
    <t>2011-01-04 07:32:39Z</t>
  </si>
  <si>
    <t>2011-01-04 08:15:40Z</t>
  </si>
  <si>
    <t>Mike Caron</t>
  </si>
  <si>
    <t>c#,c,string,pinvoke,marshalling</t>
  </si>
  <si>
    <t>https://stackoverflow.com/questions/13242098/why-should-i-embed-a-scripting-language</t>
  </si>
  <si>
    <t>2012-11-05 23:30:46Z</t>
  </si>
  <si>
    <t>2014-05-07 20:49:13Z</t>
  </si>
  <si>
    <t>Maik Klein</t>
  </si>
  <si>
    <t>c++,python,lua</t>
  </si>
  <si>
    <t>https://stackoverflow.com/questions/1309509/correct-way-to-marshal-size-t</t>
  </si>
  <si>
    <t>2009-08-21 00:13:17Z</t>
  </si>
  <si>
    <t>2009-08-21 01:32:44Z</t>
  </si>
  <si>
    <t>sooniln</t>
  </si>
  <si>
    <t>c#,c++,pinvoke,marshalling,intptr</t>
  </si>
  <si>
    <t>https://stackoverflow.com/questions/9696980/php-constant-inside-js-file</t>
  </si>
  <si>
    <t>2012-03-14 06:30:06Z</t>
  </si>
  <si>
    <t>2012-03-14 09:54:24Z</t>
  </si>
  <si>
    <t>Obmerk Kronen</t>
  </si>
  <si>
    <t>php,javascript,constants,wordpress</t>
  </si>
  <si>
    <t>https://stackoverflow.com/questions/2357106/weird-mono-compilation-error</t>
  </si>
  <si>
    <t>2010-03-01 16:04:21Z</t>
  </si>
  <si>
    <t>2010-03-21 06:46:19Z</t>
  </si>
  <si>
    <t>nubela</t>
  </si>
  <si>
    <t>c#,java,mono,ikvm</t>
  </si>
  <si>
    <t>Testing/Debugging</t>
  </si>
  <si>
    <t>https://stackoverflow.com/questions/2381241/what-is-the-subprocess-popen-max-length-of-the-args-parameter</t>
  </si>
  <si>
    <t>2010-03-04 17:13:23Z</t>
  </si>
  <si>
    <t>2019-03-02 16:55:02Z</t>
  </si>
  <si>
    <t>Jesse Vogt</t>
  </si>
  <si>
    <t>python,shell,subprocess,popen</t>
  </si>
  <si>
    <t>https://stackoverflow.com/questions/13289171/marshalasunmanagedtype-lpstr-how-does-this-convert-utf-8-strings-to-char</t>
  </si>
  <si>
    <t>2012-11-08 12:30:03Z</t>
  </si>
  <si>
    <t>2020-11-18 15:45:24Z</t>
  </si>
  <si>
    <t>dk123</t>
  </si>
  <si>
    <t>c#,c++,marshalling</t>
  </si>
  <si>
    <t>https://stackoverflow.com/questions/6872482/how-to-write-javascript-in-the-code-behind-file</t>
  </si>
  <si>
    <t>2011-07-29 11:33:53Z</t>
  </si>
  <si>
    <t>2011-08-01 07:23:26Z</t>
  </si>
  <si>
    <t>xorpower</t>
  </si>
  <si>
    <t>c#,javascript,.net,asp.net,visual-studio</t>
  </si>
  <si>
    <t>https://stackoverflow.com/questions/808692/creating-an-interactive-shell-for-net-apps-and-embed-scripting-languages-like-p</t>
  </si>
  <si>
    <t>2009-04-30 19:43:36Z</t>
  </si>
  <si>
    <t>2014-10-06 14:56:45Z</t>
  </si>
  <si>
    <t>Developer</t>
  </si>
  <si>
    <t>c#,python,.net,ironpython,python.net</t>
  </si>
  <si>
    <t>https://stackoverflow.com/questions/213628/how-to-convert-a-c-string-char-array-into-a-python-string-when-there-are-non-a</t>
  </si>
  <si>
    <t>2008-10-17 19:58:07Z</t>
  </si>
  <si>
    <t>2014-11-14 02:07:47Z</t>
  </si>
  <si>
    <t>Vebjorn Ljosa</t>
  </si>
  <si>
    <t>python,c,character-encoding,embedding</t>
  </si>
  <si>
    <t>https://stackoverflow.com/questions/8241732/application-exits-no-exception-when-referencing-64bit-dll-from-c-sharp</t>
  </si>
  <si>
    <t>2011-11-23 11:52:51Z</t>
  </si>
  <si>
    <t>2011-11-23 13:17:38Z</t>
  </si>
  <si>
    <t>wal</t>
  </si>
  <si>
    <t>c#,c++,windbg,dump</t>
  </si>
  <si>
    <t>https://stackoverflow.com/questions/3456345/gwt-how-to-return-and-handle-an-error-from-multipart-form-file-upload</t>
  </si>
  <si>
    <t>2010-08-11 07:50:49Z</t>
  </si>
  <si>
    <t>2019-08-05 19:09:22Z</t>
  </si>
  <si>
    <t>Julian Popov</t>
  </si>
  <si>
    <t>java,javascript,gwt,servlets,file-upload</t>
  </si>
  <si>
    <t>https://stackoverflow.com/questions/9993465/handling-session-timeout-on-client-side</t>
  </si>
  <si>
    <t>2012-04-03 12:39:39Z</t>
  </si>
  <si>
    <t>2016-06-28 15:41:14Z</t>
  </si>
  <si>
    <t>Santosh</t>
  </si>
  <si>
    <t>java,javascript,session-timeout,sessiontracking</t>
  </si>
  <si>
    <t>https://stackoverflow.com/questions/32028339/writing-a-long-from-java-in-a-file-and-reading-it-in-c</t>
  </si>
  <si>
    <t>2015-08-15 19:10:26Z</t>
  </si>
  <si>
    <t>2015-08-15 19:19:32Z</t>
  </si>
  <si>
    <t>Voldemort</t>
  </si>
  <si>
    <t>java,c++,long-integer</t>
  </si>
  <si>
    <t>https://stackoverflow.com/questions/2480565/directory-layout-for-a-python-project-with-c-extension-modules</t>
  </si>
  <si>
    <t>2010-03-19 21:03:37Z</t>
  </si>
  <si>
    <t>2010-03-19 21:28:00Z</t>
  </si>
  <si>
    <t>Kamil Kisiel</t>
  </si>
  <si>
    <t>python,c,module</t>
  </si>
  <si>
    <t>DEM</t>
  </si>
  <si>
    <t>https://stackoverflow.com/questions/7057022/is-it-safe-to-keep-c-pointers-in-c</t>
  </si>
  <si>
    <t>2011-08-14 13:19:15Z</t>
  </si>
  <si>
    <t>2011-08-14 14:56:49Z</t>
  </si>
  <si>
    <t>meds</t>
  </si>
  <si>
    <t>c#,c++,pointers</t>
  </si>
  <si>
    <t>https://stackoverflow.com/questions/5700186/meta-programming-into-several-output-languages</t>
  </si>
  <si>
    <t>2011-04-18 08:17:19Z</t>
  </si>
  <si>
    <t>2019-03-10 14:13:27Z</t>
  </si>
  <si>
    <t>Roel</t>
  </si>
  <si>
    <t>php,javascript,c++,metaprogramming</t>
  </si>
  <si>
    <t>Language choice</t>
  </si>
  <si>
    <t>https://stackoverflow.com/questions/16693178/c-vector-to-python-3-3</t>
  </si>
  <si>
    <t>2013-05-22 13:31:49Z</t>
  </si>
  <si>
    <t>2013-06-04 13:36:24Z</t>
  </si>
  <si>
    <t>PascalVKooten</t>
  </si>
  <si>
    <t>c++,python,cython,cpython</t>
  </si>
  <si>
    <t>https://stackoverflow.com/questions/14371758/can-a-python-function-taking-args-kwargs-be-called-from-c-or-another-language</t>
  </si>
  <si>
    <t>2013-01-17 03:25:28Z</t>
  </si>
  <si>
    <t>2013-01-17 08:03:40Z</t>
  </si>
  <si>
    <t>greatwolf</t>
  </si>
  <si>
    <t>python,c</t>
  </si>
  <si>
    <t>https://stackoverflow.com/questions/8933263/how-do-i-wrap-a-c-class-with-cython</t>
  </si>
  <si>
    <t>2012-01-19 21:05:27Z</t>
  </si>
  <si>
    <t>2020-08-02 06:54:03Z</t>
  </si>
  <si>
    <t>Endophage</t>
  </si>
  <si>
    <t>c++,python,python-2.7,cython</t>
  </si>
  <si>
    <t>https://stackoverflow.com/questions/33779063/nuget-package-with-a-dependency-on-visual-c-2013-runtime</t>
  </si>
  <si>
    <t>2015-11-18 11:38:31Z</t>
  </si>
  <si>
    <t>2016-02-21 18:26:23Z</t>
  </si>
  <si>
    <t>Dr. Andrew Burnett-Thompson</t>
  </si>
  <si>
    <t>c#,c++,visual-c++,nuget,nuget-package</t>
  </si>
  <si>
    <t>https://stackoverflow.com/questions/31766219/export-constants-from-header-with-cython</t>
  </si>
  <si>
    <t>2015-08-01 21:06:22Z</t>
  </si>
  <si>
    <t>2018-08-06 13:57:15Z</t>
  </si>
  <si>
    <t>coleifer</t>
  </si>
  <si>
    <t>python,c,cython</t>
  </si>
  <si>
    <t>https://stackoverflow.com/questions/2087840/add-a-reference-from-a-c-sharp-app-to-a-dll-compiled-without-clr</t>
  </si>
  <si>
    <t>2010-01-18 17:18:46Z</t>
  </si>
  <si>
    <t>2012-07-17 17:43:48Z</t>
  </si>
  <si>
    <t>Paul A Jungwirth</t>
  </si>
  <si>
    <t>c#,c++,visual-studio,visual-studio-2008,pinvoke</t>
  </si>
  <si>
    <t>https://stackoverflow.com/questions/30990129/encrypt-in-python-decrypt-in-javascript</t>
  </si>
  <si>
    <t>2015-06-22 21:28:55Z</t>
  </si>
  <si>
    <t>2020-10-27 00:21:18Z</t>
  </si>
  <si>
    <t>bensiu</t>
  </si>
  <si>
    <t>javascript,python,encryption,pycrypto,cryptojs</t>
  </si>
  <si>
    <t>https://stackoverflow.com/questions/3628601/how-fast-is-client-side-javascript-versus-server-side-java</t>
  </si>
  <si>
    <t>2010-09-02 15:23:45Z</t>
  </si>
  <si>
    <t>2019-06-25 18:15:57Z</t>
  </si>
  <si>
    <t>stevebot</t>
  </si>
  <si>
    <t>java,javascript,client-side,server-side</t>
  </si>
  <si>
    <t>https://stackoverflow.com/questions/32512444/use-jquery-to-post-data-to-mvc-action-method</t>
  </si>
  <si>
    <t>2015-09-10 22:10:01Z</t>
  </si>
  <si>
    <t>2018-02-20 17:56:58Z</t>
  </si>
  <si>
    <t>LP13</t>
  </si>
  <si>
    <t>javascript,c#,jquery,ajax,asp.net-mvc</t>
  </si>
  <si>
    <t>Implicit interfacing</t>
  </si>
  <si>
    <t>https://stackoverflow.com/questions/6111843/limitations-of-pytuple-setitem</t>
  </si>
  <si>
    <t>2011-05-24 14:16:51Z</t>
  </si>
  <si>
    <t>2018-02-03 12:04:38Z</t>
  </si>
  <si>
    <t>Channel72</t>
  </si>
  <si>
    <t>python,c,tuples,python-c-api</t>
  </si>
  <si>
    <t>https://stackoverflow.com/questions/18155582/should-the-order-of-import-statements-matter-when-importing-a-so</t>
  </si>
  <si>
    <t>2013-08-09 21:00:27Z</t>
  </si>
  <si>
    <t>2013-08-19 13:15:06Z</t>
  </si>
  <si>
    <t>balki</t>
  </si>
  <si>
    <t>c++,python,import,boost-python,shared-libraries</t>
  </si>
  <si>
    <t>https://stackoverflow.com/questions/20054822/exposing-c-interface-in-boost-python</t>
  </si>
  <si>
    <t>2013-11-18 18:15:04Z</t>
  </si>
  <si>
    <t>2017-05-28 16:29:19Z</t>
  </si>
  <si>
    <t>c++,python,boost-python</t>
  </si>
  <si>
    <t>https://stackoverflow.com/questions/5187242/encode-a-string-to-be-used-as-shell-argument</t>
  </si>
  <si>
    <t>2011-03-03 22:10:16Z</t>
  </si>
  <si>
    <t>2020-09-03 10:00:27Z</t>
  </si>
  <si>
    <t>Rogach</t>
  </si>
  <si>
    <t>java,shell,escaping</t>
  </si>
  <si>
    <t>https://stackoverflow.com/questions/7446992/using-nltk-in-c-sharp-via-ironpython</t>
  </si>
  <si>
    <t>2011-09-16 15:29:35Z</t>
  </si>
  <si>
    <t>2019-01-01 23:59:44Z</t>
  </si>
  <si>
    <t>Matthew Groves</t>
  </si>
  <si>
    <t>c#,python,ironpython,nltk</t>
  </si>
  <si>
    <t>https://stackoverflow.com/questions/2874603/is-it-possible-to-embed-c-code-in-a-c-sharp-project</t>
  </si>
  <si>
    <t>2010-05-20 14:24:05Z</t>
  </si>
  <si>
    <t>2015-05-29 16:41:32Z</t>
  </si>
  <si>
    <t>Jonathan</t>
  </si>
  <si>
    <t>c#,c,visual-studio-2008,embed</t>
  </si>
  <si>
    <t>https://stackoverflow.com/questions/2865289/php-redirection-with-post-parameters</t>
  </si>
  <si>
    <t>2010-05-19 12:10:56Z</t>
  </si>
  <si>
    <t>2021-04-03 13:25:18Z</t>
  </si>
  <si>
    <t>arik</t>
  </si>
  <si>
    <t>php,javascript,post,redirect,parameters</t>
  </si>
  <si>
    <t>https://stackoverflow.com/questions/33813735/nginx-with-expires-on-javascript-files-dynamically-generated-by-php</t>
  </si>
  <si>
    <t>2015-11-19 20:26:04Z</t>
  </si>
  <si>
    <t>2015-11-24 12:04:11Z</t>
  </si>
  <si>
    <t>clarkk</t>
  </si>
  <si>
    <t>javascript,php,nginx,expires-header</t>
  </si>
  <si>
    <t>https://stackoverflow.com/questions/1953731/python-pytables-java-tying-all-together</t>
  </si>
  <si>
    <t>2009-12-23 16:14:12Z</t>
  </si>
  <si>
    <t>2019-05-23 13:04:14Z</t>
  </si>
  <si>
    <t>I82Much</t>
  </si>
  <si>
    <t>java,python,architecture,hdf5,pytables</t>
  </si>
  <si>
    <t>https://stackoverflow.com/questions/6407034/can-java-interact-with-system-v-linux-message-queues</t>
  </si>
  <si>
    <t>2011-06-20 05:10:34Z</t>
  </si>
  <si>
    <t>2011-06-20 05:52:03Z</t>
  </si>
  <si>
    <t>David Parks</t>
  </si>
  <si>
    <t>java,linux,shell,message-queue</t>
  </si>
  <si>
    <t>https://stackoverflow.com/questions/9444342/adding-a-javascript-script-tag-some-place-so-that-it-works-for-every-file-in-sph</t>
  </si>
  <si>
    <t>2012-02-25 13:18:42Z</t>
  </si>
  <si>
    <t>2020-09-16 08:01:59Z</t>
  </si>
  <si>
    <t>Curious2learn</t>
  </si>
  <si>
    <t>javascript,python,python-sphinx</t>
  </si>
  <si>
    <t>https://stackoverflow.com/questions/18679264/how-to-use-malloc-and-free-with-python-ctypes</t>
  </si>
  <si>
    <t>2013-09-08 00:39:30Z</t>
  </si>
  <si>
    <t>2013-09-08 05:51:44Z</t>
  </si>
  <si>
    <t>python,c,ctypes</t>
  </si>
  <si>
    <t>https://stackoverflow.com/questions/726410/serialize-in-c-then-deserialize-in-c</t>
  </si>
  <si>
    <t>2009-04-07 15:45:28Z</t>
  </si>
  <si>
    <t>2011-12-20 09:39:47Z</t>
  </si>
  <si>
    <t>scottm</t>
  </si>
  <si>
    <t>c#,c++,serialization</t>
  </si>
  <si>
    <t>https://stackoverflow.com/questions/1153577/integrate-python-and-c</t>
  </si>
  <si>
    <t>2009-07-20 13:28:04Z</t>
  </si>
  <si>
    <t>2017-10-07 07:08:36Z</t>
  </si>
  <si>
    <t>Nathan Campos</t>
  </si>
  <si>
    <t>c++,python,integration</t>
  </si>
  <si>
    <t>https://stackoverflow.com/questions/29287311/how-to-append-datetime-value-to-formdata-and-receive-it-in-controller</t>
  </si>
  <si>
    <t>2015-03-26 19:34:24Z</t>
  </si>
  <si>
    <t>2017-07-25 20:23:08Z</t>
  </si>
  <si>
    <t>Guruprasad J Rao</t>
  </si>
  <si>
    <t>javascript,c#,asp.net-mvc-4,datetime,form-data</t>
  </si>
  <si>
    <t>https://stackoverflow.com/questions/6751825/simplest-way-to-pass-float-to-c-via-jni</t>
  </si>
  <si>
    <t>2011-07-19 18:01:47Z</t>
  </si>
  <si>
    <t>2017-12-12 06:56:27Z</t>
  </si>
  <si>
    <t>Haris Hasan</t>
  </si>
  <si>
    <t>java,c++,java-native-interface</t>
  </si>
  <si>
    <t>https://stackoverflow.com/questions/3121367/php-script-malicious-javascript-code-at-the-end</t>
  </si>
  <si>
    <t>2010-06-25 20:52:28Z</t>
  </si>
  <si>
    <t>2019-07-31 03:03:50Z</t>
  </si>
  <si>
    <t>caw</t>
  </si>
  <si>
    <t>php,javascript,security,virus</t>
  </si>
  <si>
    <t>Security</t>
  </si>
  <si>
    <t>https://stackoverflow.com/questions/1496731/how-do-i-remove-unnecessary-resources-from-my-project</t>
  </si>
  <si>
    <t>2009-09-30 08:10:42Z</t>
  </si>
  <si>
    <t>2014-05-05 21:14:31Z</t>
  </si>
  <si>
    <t>Pratik Deoghare</t>
  </si>
  <si>
    <t>c#,c++,visual-studio,resources</t>
  </si>
  <si>
    <t>https://stackoverflow.com/questions/30551935/javascript-variable-and-smarty</t>
  </si>
  <si>
    <t>2015-05-30 22:20:55Z</t>
  </si>
  <si>
    <t>2019-06-16 09:31:07Z</t>
  </si>
  <si>
    <t>Boardy</t>
  </si>
  <si>
    <t>javascript,php,smarty</t>
  </si>
  <si>
    <t>https://stackoverflow.com/questions/729562/how-to-compile-c-sharp-application-with-c-static-library</t>
  </si>
  <si>
    <t>2009-04-08 11:22:03Z</t>
  </si>
  <si>
    <t>2009-04-08 12:08:22Z</t>
  </si>
  <si>
    <t>Ivan Prodanov</t>
  </si>
  <si>
    <t>c#,c++,static</t>
  </si>
  <si>
    <t>https://stackoverflow.com/questions/33677231/how-to-expose-a-function-returning-a-c-object-to-python-without-copying-the-ob</t>
  </si>
  <si>
    <t>2015-11-12 17:08:45Z</t>
  </si>
  <si>
    <t>2019-10-02 16:26:42Z</t>
  </si>
  <si>
    <t>jul</t>
  </si>
  <si>
    <t>python,c++,cython</t>
  </si>
  <si>
    <t>https://stackoverflow.com/questions/11430773/how-to-use-javascript-with-selenium-webdriver-java</t>
  </si>
  <si>
    <t>2012-07-11 10:34:25Z</t>
  </si>
  <si>
    <t>2021-07-13 09:51:04Z</t>
  </si>
  <si>
    <t>Ripon Al Wasim</t>
  </si>
  <si>
    <t>java,javascript,selenium-webdriver</t>
  </si>
  <si>
    <t>https://stackoverflow.com/questions/21256679/how-to-include-jquery-in-a-wordpress-theme</t>
  </si>
  <si>
    <t>2014-01-21 11:21:40Z</t>
  </si>
  <si>
    <t>2016-09-24 04:20:09Z</t>
  </si>
  <si>
    <t>Andreanobili</t>
  </si>
  <si>
    <t>javascript,php,jquery,wordpress,wordpress-theming</t>
  </si>
  <si>
    <t>https://stackoverflow.com/questions/2219982/getting-php-to-run-a-python-script</t>
  </si>
  <si>
    <t>2010-02-08 06:41:41Z</t>
  </si>
  <si>
    <t>2013-10-27 15:29:53Z</t>
  </si>
  <si>
    <t>Abhinav</t>
  </si>
  <si>
    <t>php,python,exec</t>
  </si>
  <si>
    <t>https://stackoverflow.com/questions/60892286/javascript-to-c-sharp-numeric-precision-loss</t>
  </si>
  <si>
    <t>2020-03-27 18:42:56Z</t>
  </si>
  <si>
    <t>2020-04-29 01:41:46Z</t>
  </si>
  <si>
    <t>TGH</t>
  </si>
  <si>
    <t>javascript,c#,signalr,msgpack,binary-serialization</t>
  </si>
  <si>
    <t>https://stackoverflow.com/questions/2753056/jquery-get-only-passing-first-two-data-parameters-in-url</t>
  </si>
  <si>
    <t>2010-05-02 09:54:17Z</t>
  </si>
  <si>
    <t>2010-05-02 10:35:17Z</t>
  </si>
  <si>
    <t>The.Anti.9</t>
  </si>
  <si>
    <t>php,javascript,jquery,ajax</t>
  </si>
  <si>
    <t>https://stackoverflow.com/questions/15449428/does-the-shell-in-shell-true-in-subprocess-means-bash</t>
  </si>
  <si>
    <t>2013-03-16 12:45:39Z</t>
  </si>
  <si>
    <t>2013-03-16 12:57:46Z</t>
  </si>
  <si>
    <t>Hanfei Sun</t>
  </si>
  <si>
    <t>python,shell,subprocess</t>
  </si>
  <si>
    <t>https://stackoverflow.com/questions/4541565/how-can-i-assert-from-python-c-code</t>
  </si>
  <si>
    <t>2010-12-27 20:24:01Z</t>
  </si>
  <si>
    <t>2015-01-15 02:28:34Z</t>
  </si>
  <si>
    <t>Joe</t>
  </si>
  <si>
    <t>python,c,distutils,python-c-api,python-c-extension</t>
  </si>
  <si>
    <t>https://stackoverflow.com/questions/1942298/wrapping-a-c-library-in-python-c-cython-or-ctypes</t>
  </si>
  <si>
    <t>2009-12-21 20:05:51Z</t>
  </si>
  <si>
    <t>2020-01-08 04:10:03Z</t>
  </si>
  <si>
    <t>balpha</t>
  </si>
  <si>
    <t>python,c,ctypes,cython</t>
  </si>
  <si>
    <t>https://stackoverflow.com/questions/3529160/how-do-i-get-a-stdexception-error-description-when-calling-a-c-dll-from-c-sh</t>
  </si>
  <si>
    <t>2010-08-20 08:06:55Z</t>
  </si>
  <si>
    <t>2011-06-30 08:37:27Z</t>
  </si>
  <si>
    <t>Andreas Brinck</t>
  </si>
  <si>
    <t>c#,c++,exception</t>
  </si>
  <si>
    <t>https://stackoverflow.com/questions/10073564/how-can-i-convert-python-dictionary-to-javascript-hash-table</t>
  </si>
  <si>
    <t>2012-04-09 12:59:22Z</t>
  </si>
  <si>
    <t>2019-10-05 03:11:56Z</t>
  </si>
  <si>
    <t>Damir</t>
  </si>
  <si>
    <t>javascript,python,django,django-templates</t>
  </si>
  <si>
    <t>https://stackoverflow.com/questions/3632283/does-accesscontroller-doprivileged-give-javascript-threads-the-permissions-of-th</t>
  </si>
  <si>
    <t>2010-09-03 00:39:30Z</t>
  </si>
  <si>
    <t>2011-02-09 15:34:26Z</t>
  </si>
  <si>
    <t>Eddie</t>
  </si>
  <si>
    <t>java,javascript,security,applet</t>
  </si>
  <si>
    <t>https://stackoverflow.com/questions/49156/importing-javascript-in-jsp-tags</t>
  </si>
  <si>
    <t>2008-09-08 04:11:21Z</t>
  </si>
  <si>
    <t>2015-12-22 23:02:07Z</t>
  </si>
  <si>
    <t>SCdF</t>
  </si>
  <si>
    <t>javascript,java,jsp,jsp-tags</t>
  </si>
  <si>
    <t>https://stackoverflow.com/questions/1119696/java-python-integration</t>
  </si>
  <si>
    <t>2009-07-13 14:15:23Z</t>
  </si>
  <si>
    <t>2021-04-10 07:06:26Z</t>
  </si>
  <si>
    <t>Jeff Storey</t>
  </si>
  <si>
    <t>java,python,integration</t>
  </si>
  <si>
    <t>https://stackoverflow.com/questions/8102244/swig-c-to-python-warning362-operator-ignored</t>
  </si>
  <si>
    <t>2011-11-12 03:05:32Z</t>
  </si>
  <si>
    <t>2013-04-26 18:39:26Z</t>
  </si>
  <si>
    <t>Homunculus Reticulli</t>
  </si>
  <si>
    <t>c++,python,swig</t>
  </si>
  <si>
    <t>https://stackoverflow.com/questions/10847370/tips-for-using-a-c-library-from-c-sharp</t>
  </si>
  <si>
    <t>2012-06-01 09:02:22Z</t>
  </si>
  <si>
    <t>2016-07-13 14:28:04Z</t>
  </si>
  <si>
    <t>Benjol</t>
  </si>
  <si>
    <t>c#,.net,c,interop</t>
  </si>
  <si>
    <t>https://stackoverflow.com/questions/10549872/why-cant-python-execute-java-exe-via-subprocess</t>
  </si>
  <si>
    <t>2012-05-11 10:44:38Z</t>
  </si>
  <si>
    <t>2013-07-29 12:47:05Z</t>
  </si>
  <si>
    <t>aknuds1</t>
  </si>
  <si>
    <t>java,python,windows,subprocess</t>
  </si>
  <si>
    <t>https://stackoverflow.com/questions/3544240/conditional-ctypedef-with-cython</t>
  </si>
  <si>
    <t>2010-08-23 01:44:14Z</t>
  </si>
  <si>
    <t>2016-02-16 04:12:26Z</t>
  </si>
  <si>
    <t>aaronasterling</t>
  </si>
  <si>
    <t>https://stackoverflow.com/questions/2179601/good-php-framework-for-fully-ajax-based-web-applications</t>
  </si>
  <si>
    <t>2010-02-01 19:52:43Z</t>
  </si>
  <si>
    <t>2016-08-19 01:03:06Z</t>
  </si>
  <si>
    <t>ajsie</t>
  </si>
  <si>
    <t>php,javascript,ajax,frameworks</t>
  </si>
  <si>
    <t>https://stackoverflow.com/questions/2962038/how-to-remove-dangerous-charactersie-script-tags</t>
  </si>
  <si>
    <t>2010-06-02 22:18:09Z</t>
  </si>
  <si>
    <t>2019-05-29 07:23:10Z</t>
  </si>
  <si>
    <t>chobo2</t>
  </si>
  <si>
    <t>c#,.net,javascript,asp.net-mvc,security</t>
  </si>
  <si>
    <t>https://stackoverflow.com/questions/3074614/how-do-you-fight-against-all-these-ways-javascript-and-its-million-different-w</t>
  </si>
  <si>
    <t>2010-06-19 06:34:48Z</t>
  </si>
  <si>
    <t>2010-06-19 07:37:28Z</t>
  </si>
  <si>
    <t>c#,javascript,asp.net-mvc,security</t>
  </si>
  <si>
    <t>https://stackoverflow.com/questions/5882650/how-to-execute-a-shell-script-in-php</t>
  </si>
  <si>
    <t>2011-05-04 11:30:10Z</t>
  </si>
  <si>
    <t>2017-07-10 14:38:22Z</t>
  </si>
  <si>
    <t>Rakesh</t>
  </si>
  <si>
    <t>php,shell</t>
  </si>
  <si>
    <t>https://stackoverflow.com/questions/2692873/quote-posix-shell-special-characters-in-python-output</t>
  </si>
  <si>
    <t>2010-04-22 17:01:16Z</t>
  </si>
  <si>
    <t>2010-04-22 17:18:34Z</t>
  </si>
  <si>
    <t>tzot</t>
  </si>
  <si>
    <t>python,shell,posix,escaping,special-characters</t>
  </si>
  <si>
    <t>https://stackoverflow.com/questions/18050937/how-can-i-execute-shell-command-with-a-pipe-in-it</t>
  </si>
  <si>
    <t>2013-08-05 05:13:08Z</t>
  </si>
  <si>
    <t>2013-08-06 00:40:45Z</t>
  </si>
  <si>
    <t>michael</t>
  </si>
  <si>
    <t>https://stackoverflow.com/questions/5522063/serving-php-as-css-js-is-it-fast-enough-what-drawbacks-are-there</t>
  </si>
  <si>
    <t>2011-04-02 08:17:29Z</t>
  </si>
  <si>
    <t>2013-09-05 06:34:20Z</t>
  </si>
  <si>
    <t>Wesley Murch</t>
  </si>
  <si>
    <t>php,javascript,css,optimization,performance</t>
  </si>
  <si>
    <t>Efficiency/Performance</t>
  </si>
  <si>
    <t>https://stackoverflow.com/questions/26904725/pylucene-error-with-icetea-jdk-jre</t>
  </si>
  <si>
    <t>2014-11-13 08:53:13Z</t>
  </si>
  <si>
    <t>2015-04-13 15:08:41Z</t>
  </si>
  <si>
    <t>alvas</t>
  </si>
  <si>
    <t>java,python,lucene,pylucene</t>
  </si>
  <si>
    <t>https://stackoverflow.com/questions/7919856/how-to-use-websockets-with-play-framework</t>
  </si>
  <si>
    <t>2011-10-27 17:24:43Z</t>
  </si>
  <si>
    <t>2012-07-11 18:04:19Z</t>
  </si>
  <si>
    <t>Jonas</t>
  </si>
  <si>
    <t>java,javascript,playframework,websocket</t>
  </si>
  <si>
    <t>https://stackoverflow.com/questions/419240/how-to-get-javascript-function-data-into-a-php-variable</t>
  </si>
  <si>
    <t>2009-01-07 05:02:20Z</t>
  </si>
  <si>
    <t>2013-04-19 01:13:44Z</t>
  </si>
  <si>
    <t>venkatachalam</t>
  </si>
  <si>
    <t>php,javascript,function</t>
  </si>
  <si>
    <t>https://stackoverflow.com/questions/3128709/adding-facebook-connect-to-a-codeigniter-website</t>
  </si>
  <si>
    <t>2010-06-27 20:02:07Z</t>
  </si>
  <si>
    <t>2011-12-29 10:37:20Z</t>
  </si>
  <si>
    <t>Joseph Mansfield</t>
  </si>
  <si>
    <t>php,javascript,codeigniter,facebook</t>
  </si>
  <si>
    <t>https://stackoverflow.com/questions/3819071/asp-net-scriptservice-deserialization-problem-with-derived-types</t>
  </si>
  <si>
    <t>2010-09-29 05:51:14Z</t>
  </si>
  <si>
    <t>2018-11-23 12:59:54Z</t>
  </si>
  <si>
    <t>josh3736</t>
  </si>
  <si>
    <t>c#,javascript,ajax,json,scriptservice</t>
  </si>
  <si>
    <t>https://stackoverflow.com/questions/16218929/how-to-instantiate-a-template-method-of-a-template-class-with-swig</t>
  </si>
  <si>
    <t>2013-04-25 15:32:37Z</t>
  </si>
  <si>
    <t>2018-07-10 01:35:10Z</t>
  </si>
  <si>
    <t>Stefano Borini</t>
  </si>
  <si>
    <t>https://stackoverflow.com/questions/4354411/debugging-native-code-when-called-from-managed</t>
  </si>
  <si>
    <t>2010-12-04 16:03:27Z</t>
  </si>
  <si>
    <t>2018-04-13 00:56:11Z</t>
  </si>
  <si>
    <t>Puppy</t>
  </si>
  <si>
    <t>c#,c++,.net-4.0</t>
  </si>
  <si>
    <t>https://stackoverflow.com/questions/2356098/what-is-the-best-tool-for-performance-regression-testing</t>
  </si>
  <si>
    <t>2010-03-01 13:34:26Z</t>
  </si>
  <si>
    <t>2010-03-03 22:18:57Z</t>
  </si>
  <si>
    <t>leora</t>
  </si>
  <si>
    <t>c#,java,unit-testing,performance</t>
  </si>
  <si>
    <t>https://stackoverflow.com/questions/438594/how-to-call-java-objects-and-functions-from-cpython</t>
  </si>
  <si>
    <t>2009-01-13 10:49:01Z</t>
  </si>
  <si>
    <t>2018-08-24 02:13:11Z</t>
  </si>
  <si>
    <t>nosklo</t>
  </si>
  <si>
    <t>java,python,function,language-interoperability</t>
  </si>
  <si>
    <t>https://stackoverflow.com/questions/3259967/sending-displaying-a-base64-encoded-image</t>
  </si>
  <si>
    <t>2010-07-15 20:52:02Z</t>
  </si>
  <si>
    <t>2017-10-12 09:24:50Z</t>
  </si>
  <si>
    <t>jAndy</t>
  </si>
  <si>
    <t>php,javascript,jquery,base64</t>
  </si>
  <si>
    <t>https://stackoverflow.com/questions/7672792/calling-c-exe-functions-from-c-sharp</t>
  </si>
  <si>
    <t>2011-10-06 10:03:15Z</t>
  </si>
  <si>
    <t>2011-10-06 12:22:58Z</t>
  </si>
  <si>
    <t>Luchian Grigore</t>
  </si>
  <si>
    <t>c#,c++</t>
  </si>
  <si>
    <t>https://stackoverflow.com/questions/18096415/convert-object-to-void-and-back</t>
  </si>
  <si>
    <t>2013-08-07 06:45:23Z</t>
  </si>
  <si>
    <t>2013-08-07 07:08:40Z</t>
  </si>
  <si>
    <t>mpen</t>
  </si>
  <si>
    <t>c#,c,interop</t>
  </si>
  <si>
    <t>https://stackoverflow.com/questions/4011180/how-to-use-a-c-library-in-a-c-sharp-app</t>
  </si>
  <si>
    <t>2010-10-25 00:27:59Z</t>
  </si>
  <si>
    <t>2010-10-29 19:42:27Z</t>
  </si>
  <si>
    <t>c#,c++,visual-studio</t>
  </si>
  <si>
    <t>https://stackoverflow.com/questions/210978/using-os-execvp-in-python</t>
  </si>
  <si>
    <t>2008-10-17 03:04:38Z</t>
  </si>
  <si>
    <t>2008-10-17 12:11:04Z</t>
  </si>
  <si>
    <t>mipadi</t>
  </si>
  <si>
    <t>python,shell,exec</t>
  </si>
  <si>
    <t>https://stackoverflow.com/questions/1199470/combine-javascript-files-at-deployment-in-python</t>
  </si>
  <si>
    <t>2009-07-29 11:06:42Z</t>
  </si>
  <si>
    <t>2018-08-04 23:13:32Z</t>
  </si>
  <si>
    <t>Diarmuid Bourke</t>
  </si>
  <si>
    <t>javascript,python,deployment,buildout,jscompress</t>
  </si>
  <si>
    <t>https://stackoverflow.com/questions/23622923/is-it-acceptable-practice-to-unit-test-a-program-in-a-different-language</t>
  </si>
  <si>
    <t>2014-05-13 04:40:07Z</t>
  </si>
  <si>
    <t>2014-08-09 17:53:23Z</t>
  </si>
  <si>
    <t>WCGPR0</t>
  </si>
  <si>
    <t>python,c++,unit-testing</t>
  </si>
  <si>
    <t>https://stackoverflow.com/questions/57172870/how-to-use-a-different-c-compiler-in-cython</t>
  </si>
  <si>
    <t>2019-07-23 22:11:38Z</t>
  </si>
  <si>
    <t>2021-07-05 16:23:10Z</t>
  </si>
  <si>
    <t>user1556331</t>
  </si>
  <si>
    <t>python,c++,cython,distutils,cythonize</t>
  </si>
  <si>
    <t>https://stackoverflow.com/questions/25882150/python-h-not-found-using-swig-and-anaconda-python</t>
  </si>
  <si>
    <t>2014-09-17 04:08:45Z</t>
  </si>
  <si>
    <t>2014-09-17 07:03:41Z</t>
  </si>
  <si>
    <t>Fra</t>
  </si>
  <si>
    <t>python,c,macos,swig,anaconda</t>
  </si>
  <si>
    <t>https://stackoverflow.com/questions/41759122/how-to-use-googletest-for-testing-c-code-that-calls-into-java-on-android</t>
  </si>
  <si>
    <t>2017-01-20 08:27:36Z</t>
  </si>
  <si>
    <t>2017-01-25 16:58:56Z</t>
  </si>
  <si>
    <t>Luz</t>
  </si>
  <si>
    <t>java,android,c++,android-ndk,googletest</t>
  </si>
  <si>
    <t>https://stackoverflow.com/questions/43621948/c-python-module-import-error-undefined-symbol-py-initmodule3-py-initmodu</t>
  </si>
  <si>
    <t>2017-04-25 22:20:59Z</t>
  </si>
  <si>
    <t>2017-04-25 23:39:08Z</t>
  </si>
  <si>
    <t>Claudio</t>
  </si>
  <si>
    <t>python,c++,python-3.x,python-import,extension-modules</t>
  </si>
  <si>
    <t>https://stackoverflow.com/questions/29006439/boost-python-multiple-modules-in-one-shared-object</t>
  </si>
  <si>
    <t>2015-03-12 09:49:47Z</t>
  </si>
  <si>
    <t>2015-04-16 08:05:46Z</t>
  </si>
  <si>
    <t>Max Shifrin</t>
  </si>
  <si>
    <t>python,c++,boost,python-2.6,boost-python</t>
  </si>
  <si>
    <t>https://stackoverflow.com/questions/49866263/how-are-symbols-contained-in-the-libpythonx-x-linked-to-numpy-extension-dynamic</t>
  </si>
  <si>
    <t>2018-04-16 21:08:45Z</t>
  </si>
  <si>
    <t>2019-05-07 08:43:45Z</t>
  </si>
  <si>
    <t>skincell</t>
  </si>
  <si>
    <t>python,c++,python-3.x,numpy,shared-libraries</t>
  </si>
  <si>
    <t>https://stackoverflow.com/questions/4259170/python-setup-script-extensions-how-do-you-include-a-h-file</t>
  </si>
  <si>
    <t>2010-11-23 17:55:00Z</t>
  </si>
  <si>
    <t>2021-03-15 19:15:04Z</t>
  </si>
  <si>
    <t>user411133</t>
  </si>
  <si>
    <t>python,c,installation,setup.py</t>
  </si>
  <si>
    <t>https://stackoverflow.com/questions/16520052/how-to-generate-64-bit-dll-which-gcc-compiler-or-other-cant-load-ia-32-bit-d</t>
  </si>
  <si>
    <t>2013-05-13 10:38:17Z</t>
  </si>
  <si>
    <t>2016-06-08 19:19:45Z</t>
  </si>
  <si>
    <t>Przemek Grabowski</t>
  </si>
  <si>
    <t>java,c++,gcc,java-native-interface,64-bit</t>
  </si>
  <si>
    <t>https://stackoverflow.com/questions/66498069/what-is-the-most-conventional-way-to-integrate-c-code-into-a-python-library-usin</t>
  </si>
  <si>
    <t>2021-03-05 18:52:34Z</t>
  </si>
  <si>
    <t>2021-03-09 11:29:48Z</t>
  </si>
  <si>
    <t>Giuppox</t>
  </si>
  <si>
    <t>python,c,python-3.x,setup.py,distutils</t>
  </si>
  <si>
    <t>https://stackoverflow.com/questions/42763186/how-to-release-the-gil-in-cython-for-a-multithreaded-c-class</t>
  </si>
  <si>
    <t>2017-03-13 12:02:54Z</t>
  </si>
  <si>
    <t>2017-03-13 18:57:04Z</t>
  </si>
  <si>
    <t>Jack Simpson</t>
  </si>
  <si>
    <t>python,c++,multithreading,cython,gil</t>
  </si>
  <si>
    <t>https://stackoverflow.com/questions/2941960/a-call-to-pinvoke-function-has-unbalanced-the-stack</t>
  </si>
  <si>
    <t>2010-05-31 07:19:12Z</t>
  </si>
  <si>
    <t>2016-10-20 15:18:40Z</t>
  </si>
  <si>
    <t>Sanctus2099</t>
  </si>
  <si>
    <t>c#,c++,pinvoke,unmanaged,managed</t>
  </si>
  <si>
    <t>https://stackoverflow.com/questions/30455178/numpy-ctypes-dynamic-module-does-not-define-init-function-error-if-not-recompi</t>
  </si>
  <si>
    <t>2015-05-26 09:52:46Z</t>
  </si>
  <si>
    <t>2015-05-26 13:45:42Z</t>
  </si>
  <si>
    <t>Prokop Hapala</t>
  </si>
  <si>
    <t>python,c++,numpy,ctypes</t>
  </si>
  <si>
    <t>https://stackoverflow.com/questions/6887338/wrapper-is-disabled-in-the-server-configuration-by-allow-url-include-0</t>
  </si>
  <si>
    <t>2011-07-31 03:18:55Z</t>
  </si>
  <si>
    <t>2015-02-10 13:53:34Z</t>
  </si>
  <si>
    <t>Anonymous</t>
  </si>
  <si>
    <t>php,javascript,ajax</t>
  </si>
  <si>
    <t>https://stackoverflow.com/questions/50261675/url-redirect-not-loading-resources-from-correct-relative-source</t>
  </si>
  <si>
    <t>2018-05-09 20:40:19Z</t>
  </si>
  <si>
    <t>2018-12-30 20:43:47Z</t>
  </si>
  <si>
    <t>Zobris</t>
  </si>
  <si>
    <t>javascript,php,html,css,.htaccess</t>
  </si>
  <si>
    <t>https://stackoverflow.com/questions/52021010/pre-compiling-php-files</t>
  </si>
  <si>
    <t>2018-08-25 20:29:40Z</t>
  </si>
  <si>
    <t>2019-06-16 14:11:43Z</t>
  </si>
  <si>
    <t>MyUsername112358</t>
  </si>
  <si>
    <t>php,c,php-extension,php-internals</t>
  </si>
  <si>
    <t>https://stackoverflow.com/questions/39649807/how-to-setup-qwebchannel-js-api-for-use-in-a-qwebengineview</t>
  </si>
  <si>
    <t>2016-09-22 22:24:44Z</t>
  </si>
  <si>
    <t>2019-09-08 16:15:36Z</t>
  </si>
  <si>
    <t>Thunder Storm</t>
  </si>
  <si>
    <t>javascript,c++,qt</t>
  </si>
  <si>
    <t>https://stackoverflow.com/questions/36530637/embedding-python-in-c-error-in-linking-undefined-reference-to-pystring-asstri</t>
  </si>
  <si>
    <t>2016-04-10 13:52:36Z</t>
  </si>
  <si>
    <t>2016-04-10 16:56:34Z</t>
  </si>
  <si>
    <t>Jahan Balasubramaniam</t>
  </si>
  <si>
    <t>python,c,python-3.x,python-internals,python-embedding</t>
  </si>
  <si>
    <t>https://stackoverflow.com/questions/7195959/hello-world-with-boost-python-and-python-3-2</t>
  </si>
  <si>
    <t>2011-08-25 19:16:45Z</t>
  </si>
  <si>
    <t>2018-08-22 04:44:48Z</t>
  </si>
  <si>
    <t>Dwight</t>
  </si>
  <si>
    <t>c++,python,boost,g++,boost-python</t>
  </si>
  <si>
    <t>https://stackoverflow.com/questions/20904131/how-to-calculate-code-coverage-of-selenium-tests-with-respect-to-web-application</t>
  </si>
  <si>
    <t>2014-01-03 12:53:34Z</t>
  </si>
  <si>
    <t>2018-01-26 20:48:52Z</t>
  </si>
  <si>
    <t>Vigneshwaran</t>
  </si>
  <si>
    <t>java,javascript,selenium,code-coverage,jacoco</t>
  </si>
  <si>
    <t>https://stackoverflow.com/questions/19100085/javascript-runtime-error-unable-to-get-property-msie-of-undefined-or-null-ref</t>
  </si>
  <si>
    <t>2013-09-30 17:19:44Z</t>
  </si>
  <si>
    <t>2016-11-11 04:00:43Z</t>
  </si>
  <si>
    <t>CodeNinja</t>
  </si>
  <si>
    <t>c#,javascript,jquery,asp.net,jquery-ui</t>
  </si>
  <si>
    <t>https://stackoverflow.com/questions/6336094/jquery-autocomplete-in-background-of-input-text-box</t>
  </si>
  <si>
    <t>2011-06-13 20:44:07Z</t>
  </si>
  <si>
    <t>2011-06-13 21:25:05Z</t>
  </si>
  <si>
    <t>Callum Whyte</t>
  </si>
  <si>
    <t>php,javascript,jquery,html,css</t>
  </si>
  <si>
    <t>https://stackoverflow.com/questions/50674904/firing-events-in-c-and-handling-them-in-c-sharp</t>
  </si>
  <si>
    <t>2018-06-04 06:57:32Z</t>
  </si>
  <si>
    <t>2018-06-04 09:11:16Z</t>
  </si>
  <si>
    <t>Igb</t>
  </si>
  <si>
    <t>c#,c++,.net,c++-cli,clr</t>
  </si>
  <si>
    <t>https://stackoverflow.com/questions/11643666/python-importerror-undefined-symbol-for-custom-c-module</t>
  </si>
  <si>
    <t>2012-07-25 06:08:09Z</t>
  </si>
  <si>
    <t>2020-05-27 03:34:26Z</t>
  </si>
  <si>
    <t>Rajesh J Advani</t>
  </si>
  <si>
    <t>c++,python,opencv,shared-libraries</t>
  </si>
  <si>
    <t>https://stackoverflow.com/questions/5051059/codeigniter-and-javascript-jquery-library</t>
  </si>
  <si>
    <t>2011-02-19 13:35:30Z</t>
  </si>
  <si>
    <t>2017-04-11 03:12:07Z</t>
  </si>
  <si>
    <t>Luciano</t>
  </si>
  <si>
    <t>php,javascript,jquery,codeigniter,libraries</t>
  </si>
  <si>
    <t>https://stackoverflow.com/questions/32440486/what-does-a-blue-dot-beneath-the-visual-studio-breakpoint-mean</t>
  </si>
  <si>
    <t>2015-09-07 14:00:40Z</t>
  </si>
  <si>
    <t>2015-09-07 14:09:08Z</t>
  </si>
  <si>
    <t>Stefan</t>
  </si>
  <si>
    <t>c#,c++,visual-studio,visual-studio-2013</t>
  </si>
  <si>
    <t>https://stackoverflow.com/questions/35716417/show-previously-uploaded-images-in-fine-uploader</t>
  </si>
  <si>
    <t>2016-03-01 06:49:14Z</t>
  </si>
  <si>
    <t>2016-03-04 15:15:23Z</t>
  </si>
  <si>
    <t>javascript,php,jquery,file-upload,fine-uploader</t>
  </si>
  <si>
    <t>https://stackoverflow.com/questions/28607708/event-source-server-returns-event-stream-in-bulk-rather-then-returning-in-chu</t>
  </si>
  <si>
    <t>2015-02-19 13:31:18Z</t>
  </si>
  <si>
    <t>2018-09-13 16:06:22Z</t>
  </si>
  <si>
    <t>ba1ar</t>
  </si>
  <si>
    <t>javascript,php,linux,html,event-stream</t>
  </si>
  <si>
    <t>https://stackoverflow.com/questions/34823870/ghostdriver-1-2-1-phantomjs-2-0-latest-selenium-cant-find-variable-error-in</t>
  </si>
  <si>
    <t>2016-01-16 05:30:33Z</t>
  </si>
  <si>
    <t>2021-07-21 08:55:08Z</t>
  </si>
  <si>
    <t>user3180</t>
  </si>
  <si>
    <t>javascript,java,selenium,phantomjs,ghostdriver</t>
  </si>
  <si>
    <t>https://stackoverflow.com/questions/24621889/minimal-example-of-wrapping-c-code-with-cython-passing-int-and-struct</t>
  </si>
  <si>
    <t>2014-07-08 00:13:33Z</t>
  </si>
  <si>
    <t>2015-01-03 04:55:31Z</t>
  </si>
  <si>
    <t>Solar_code</t>
  </si>
  <si>
    <t>python,c,cython,word-wrap</t>
  </si>
  <si>
    <t>https://stackoverflow.com/questions/11114277/execute-perl-in-php</t>
  </si>
  <si>
    <t>2012-06-20 06:52:06Z</t>
  </si>
  <si>
    <t>2015-07-10 14:07:38Z</t>
  </si>
  <si>
    <t>Suresh kumar</t>
  </si>
  <si>
    <t>php,perl,shell,exec</t>
  </si>
  <si>
    <t>https://stackoverflow.com/questions/33293538/compiling-c-from-php-with-exec-error-trying-to-exec-cc1</t>
  </si>
  <si>
    <t>2015-10-23 01:40:23Z</t>
  </si>
  <si>
    <t>2021-01-21 11:25:13Z</t>
  </si>
  <si>
    <t>Marco Feregrino</t>
  </si>
  <si>
    <t>php,c,gcc,exec,shell-exec</t>
  </si>
  <si>
    <t>https://stackoverflow.com/questions/49953785/which-options-do-exist-for-defining-a-python-package-with-node-js-dependencies</t>
  </si>
  <si>
    <t>2018-04-21 08:20:37Z</t>
  </si>
  <si>
    <t>2018-12-31 15:51:53Z</t>
  </si>
  <si>
    <t>s-m-e</t>
  </si>
  <si>
    <t>javascript,python,node.js,npm,python-packaging</t>
  </si>
  <si>
    <t>https://stackoverflow.com/questions/40826295/react-routing-and-django-url-conflict</t>
  </si>
  <si>
    <t>2016-11-27 06:16:26Z</t>
  </si>
  <si>
    <t>2021-03-09 19:46:43Z</t>
  </si>
  <si>
    <t>milan</t>
  </si>
  <si>
    <t>javascript,python,django,reactjs,react-router</t>
  </si>
  <si>
    <t>https://stackoverflow.com/questions/7067512/jquery-cannot-change-a-value-where-js-can-because-the-library-is-out-of-date</t>
  </si>
  <si>
    <t>2011-08-25 19:15:59Z</t>
  </si>
  <si>
    <t>php,javascript,jquery,html</t>
  </si>
  <si>
    <t>https://stackoverflow.com/questions/19428747/java-equivalent-of-c-copy-assignment-operator</t>
  </si>
  <si>
    <t>2013-10-17 13:55:58Z</t>
  </si>
  <si>
    <t>2013-10-17 14:06:36Z</t>
  </si>
  <si>
    <t>p.drewello</t>
  </si>
  <si>
    <t>java,c++,operator-keyword</t>
  </si>
  <si>
    <t>https://stackoverflow.com/questions/22846186/paypal-redirects-to-the-same-popup-window</t>
  </si>
  <si>
    <t>2014-04-03 18:40:27Z</t>
  </si>
  <si>
    <t>2015-01-28 07:56:21Z</t>
  </si>
  <si>
    <t>Balakrishnan</t>
  </si>
  <si>
    <t>javascript,php,redirect,paypal</t>
  </si>
  <si>
    <t>https://stackoverflow.com/questions/49793560/build-c-plugin-for-unity</t>
  </si>
  <si>
    <t>2018-04-12 09:56:53Z</t>
  </si>
  <si>
    <t>2018-04-16 18:48:38Z</t>
  </si>
  <si>
    <t>user8469759</t>
  </si>
  <si>
    <t>c#,c++,unity3d,dll</t>
  </si>
  <si>
    <t>https://stackoverflow.com/questions/13845475/mpdf-ignoring-javascript</t>
  </si>
  <si>
    <t>2012-12-12 17:39:55Z</t>
  </si>
  <si>
    <t>2019-11-05 09:34:22Z</t>
  </si>
  <si>
    <t>Wawan Brutalx</t>
  </si>
  <si>
    <t>php,javascript,mpdf</t>
  </si>
  <si>
    <t>https://stackoverflow.com/questions/30686266/how-to-include-csrf-token-in-an-external-js-file-in-laravel</t>
  </si>
  <si>
    <t>2015-06-06 18:33:12Z</t>
  </si>
  <si>
    <t>2015-06-06 18:41:32Z</t>
  </si>
  <si>
    <t>Faizuddin Mohammed</t>
  </si>
  <si>
    <t>javascript,php,jquery,laravel,laravel-5</t>
  </si>
  <si>
    <t>https://stackoverflow.com/questions/5182857/can-i-use-fabric-to-perform-interactive-shell-commands</t>
  </si>
  <si>
    <t>2011-03-03 15:32:39Z</t>
  </si>
  <si>
    <t>2011-03-14 19:15:35Z</t>
  </si>
  <si>
    <t>Weholt</t>
  </si>
  <si>
    <t>python,shell,interactive,fabric</t>
  </si>
  <si>
    <t>https://stackoverflow.com/questions/10916952/in-visual-studio-c-is-there-a-way-to-apply-web-config-transforms-to-javascript</t>
  </si>
  <si>
    <t>2012-06-06 15:04:12Z</t>
  </si>
  <si>
    <t>2012-06-07 23:51:22Z</t>
  </si>
  <si>
    <t>Hairgami_Master</t>
  </si>
  <si>
    <t>c#,javascript,visual-studio-2010,web-config-transform</t>
  </si>
  <si>
    <t>https://stackoverflow.com/questions/30603810/authenticate-firebase-firechat-with-wordpress-user-or-database</t>
  </si>
  <si>
    <t>2015-06-02 18:29:16Z</t>
  </si>
  <si>
    <t>2015-06-02 20:51:51Z</t>
  </si>
  <si>
    <t>Schu Davis</t>
  </si>
  <si>
    <t>javascript,php,wordpress,firebase</t>
  </si>
  <si>
    <t>https://stackoverflow.com/questions/911034/how-to-debug-jni-c-library</t>
  </si>
  <si>
    <t>2009-05-26 14:35:17Z</t>
  </si>
  <si>
    <t>2013-05-12 07:53:01Z</t>
  </si>
  <si>
    <t>hooray</t>
  </si>
  <si>
    <t>java,c,debugging,solaris,java-native-interface</t>
  </si>
  <si>
    <t>https://stackoverflow.com/questions/9940381/how-to-generate-jni-header-file-in-eclipse</t>
  </si>
  <si>
    <t>2012-03-30 09:32:43Z</t>
  </si>
  <si>
    <t>2017-03-17 19:30:56Z</t>
  </si>
  <si>
    <t>holy</t>
  </si>
  <si>
    <t>java,c,eclipse,header,java-native-interface</t>
  </si>
  <si>
    <t>https://stackoverflow.com/questions/39059853/nodejs-alternative-to-php-includes</t>
  </si>
  <si>
    <t>2016-08-21 00:26:53Z</t>
  </si>
  <si>
    <t>2016-08-21 00:31:27Z</t>
  </si>
  <si>
    <t>LearnSomeMore</t>
  </si>
  <si>
    <t>javascript,php,html,node.js,php-include</t>
  </si>
  <si>
    <t>https://stackoverflow.com/questions/47635408/cythonizing-fails-because-of-unknown-type-name-uint64-t</t>
  </si>
  <si>
    <t>2017-12-04 14:19:32Z</t>
  </si>
  <si>
    <t>2018-04-22 14:11:58Z</t>
  </si>
  <si>
    <t>Haution L.</t>
  </si>
  <si>
    <t>https://stackoverflow.com/questions/40360372/cant-import-numpy-from-c</t>
  </si>
  <si>
    <t>2016-11-01 12:46:54Z</t>
  </si>
  <si>
    <t>2019-10-08 14:40:28Z</t>
  </si>
  <si>
    <t>MatthewJohnHeath</t>
  </si>
  <si>
    <t>python,c,numpy,python-c-api</t>
  </si>
  <si>
    <t>https://stackoverflow.com/questions/2885822/which-logging-library-to-use-for-cross-language-java-c-python-system</t>
  </si>
  <si>
    <t>2010-05-21 21:49:06Z</t>
  </si>
  <si>
    <t>2010-05-28 04:00:36Z</t>
  </si>
  <si>
    <t>recipriversexclusion</t>
  </si>
  <si>
    <t>java,c++,python,logging</t>
  </si>
  <si>
    <t>https://stackoverflow.com/questions/4421832/compiling-python-to-c-using-cython</t>
  </si>
  <si>
    <t>2010-12-12 13:18:20Z</t>
  </si>
  <si>
    <t>2016-02-28 11:58:15Z</t>
  </si>
  <si>
    <t>Forge</t>
  </si>
  <si>
    <t>python,c,linux,gcc,cython</t>
  </si>
  <si>
    <t>https://stackoverflow.com/questions/40674654/can-not-add-data-attributes-in-script-tag-in-prestashop-1-6</t>
  </si>
  <si>
    <t>2016-11-18 10:26:15Z</t>
  </si>
  <si>
    <t>2018-11-25 13:19:42Z</t>
  </si>
  <si>
    <t>Jahangir Alam</t>
  </si>
  <si>
    <t>javascript,php,prestashop,prestashop-1.6</t>
  </si>
  <si>
    <t>https://stackoverflow.com/questions/7598431/adding-jquery-to-magento</t>
  </si>
  <si>
    <t>2011-09-29 13:58:33Z</t>
  </si>
  <si>
    <t>2014-02-24 13:20:30Z</t>
  </si>
  <si>
    <t>Luke</t>
  </si>
  <si>
    <t>php,javascript,jquery,magento</t>
  </si>
  <si>
    <t>https://stackoverflow.com/questions/41262490/qnetwork-error-when-use-qt-lib-with-native-jni-android-application</t>
  </si>
  <si>
    <t>2016-12-21 12:07:33Z</t>
  </si>
  <si>
    <t>2016-12-26 07:37:04Z</t>
  </si>
  <si>
    <t>Alexey Pichukov</t>
  </si>
  <si>
    <t>java,android,c++,qt,java-native-interface</t>
  </si>
  <si>
    <t>https://stackoverflow.com/questions/26194684/how-to-disable-python-shell-spawning-less-with-help</t>
  </si>
  <si>
    <t>2014-10-04 16:19:18Z</t>
  </si>
  <si>
    <t>2016-01-04 16:24:49Z</t>
  </si>
  <si>
    <t>datajerk</t>
  </si>
  <si>
    <t>https://stackoverflow.com/questions/30983220/ctypes-error-attributeerror-symbol-not-found-os-x-10-7-5</t>
  </si>
  <si>
    <t>2015-06-22 14:56:36Z</t>
  </si>
  <si>
    <t>2015-06-22 16:17:00Z</t>
  </si>
  <si>
    <t>pasichnyk.oleh</t>
  </si>
  <si>
    <t>python,c++,ctypes</t>
  </si>
  <si>
    <t>https://stackoverflow.com/questions/10561212/parsing-namespaces-with-clang-ast-differences-in-when-including-a-header-in-ano</t>
  </si>
  <si>
    <t>2012-05-12 04:59:59Z</t>
  </si>
  <si>
    <t>2014-06-17 15:42:07Z</t>
  </si>
  <si>
    <t>Codie CodeMonkey</t>
  </si>
  <si>
    <t>c++,python,parsing,clang</t>
  </si>
  <si>
    <t>https://stackoverflow.com/questions/36160451/how-can-a-c-cli-project-reference-a-portable-class-library</t>
  </si>
  <si>
    <t>2016-03-22 16:49:25Z</t>
  </si>
  <si>
    <t>2016-10-06 23:38:46Z</t>
  </si>
  <si>
    <t>intinit</t>
  </si>
  <si>
    <t>c#,c++,portable-class-library,prism-6</t>
  </si>
  <si>
    <t>https://stackoverflow.com/questions/148071/problem-using-large-binary-segment-in-ooxml</t>
  </si>
  <si>
    <t>2008-09-29 09:21:40Z</t>
  </si>
  <si>
    <t>2008-10-06 12:35:42Z</t>
  </si>
  <si>
    <t>QBziZ</t>
  </si>
  <si>
    <t>c#,.net,c++,com,openxml</t>
  </si>
  <si>
    <t>https://stackoverflow.com/questions/25303766/creating-custom-function-in-sqlite3-in-android</t>
  </si>
  <si>
    <t>2014-08-14 08:43:54Z</t>
  </si>
  <si>
    <t>2014-08-27 11:55:07Z</t>
  </si>
  <si>
    <t>Rajan1404930</t>
  </si>
  <si>
    <t>java,android,c,sqlite,android-ndk</t>
  </si>
  <si>
    <t>https://stackoverflow.com/questions/18861818/cmake-conditionally-generate-protobuf-pb-hcpp-files-when-proto-files-ch</t>
  </si>
  <si>
    <t>2013-09-18 00:02:37Z</t>
  </si>
  <si>
    <t>2016-01-21 18:20:07Z</t>
  </si>
  <si>
    <t>Scottymac</t>
  </si>
  <si>
    <t>c++,python,cmake,protocol-buffers</t>
  </si>
  <si>
    <t>https://stackoverflow.com/questions/28296252/ajax-not-post-base64-data-of-large-image</t>
  </si>
  <si>
    <t>2015-02-03 10:10:22Z</t>
  </si>
  <si>
    <t>2015-06-03 20:32:27Z</t>
  </si>
  <si>
    <t>Manikandan Arunachalam</t>
  </si>
  <si>
    <t>javascript,php,jquery,ajax,base64</t>
  </si>
  <si>
    <t>https://stackoverflow.com/questions/8525193/how-to-install-jpype-on-os-x-lion-to-use-with-neo4j</t>
  </si>
  <si>
    <t>2011-12-15 18:59:28Z</t>
  </si>
  <si>
    <t>2014-06-18 18:57:24Z</t>
  </si>
  <si>
    <t>rogueleaderr</t>
  </si>
  <si>
    <t>java,python,gcc,osx-lion,neo4j</t>
  </si>
  <si>
    <t>https://stackoverflow.com/questions/19865757/importerror-usr-lib-libboost-python-so-1-54-0-undefined-symbol-pyclass-type</t>
  </si>
  <si>
    <t>2013-11-08 18:12:12Z</t>
  </si>
  <si>
    <t>2013-11-10 21:58:18Z</t>
  </si>
  <si>
    <t>Yuras</t>
  </si>
  <si>
    <t>c++,python,boost,boost-python,archlinux</t>
  </si>
  <si>
    <t>https://stackoverflow.com/questions/43942476/load-custom-ner-model-stanford-corenlp</t>
  </si>
  <si>
    <t>2017-05-12 16:29:01Z</t>
  </si>
  <si>
    <t>2017-05-16 14:23:47Z</t>
  </si>
  <si>
    <t>Fraizier Reiland</t>
  </si>
  <si>
    <t>java,python,python-3.x,nlp,stanford-nlp</t>
  </si>
  <si>
    <t>https://stackoverflow.com/questions/8295645/cython-vector-operations</t>
  </si>
  <si>
    <t>2011-11-28 12:13:23Z</t>
  </si>
  <si>
    <t>2011-11-28 12:18:22Z</t>
  </si>
  <si>
    <t>Patric</t>
  </si>
  <si>
    <t>c++,python,algorithm,vector,cython</t>
  </si>
  <si>
    <t>https://stackoverflow.com/questions/53762552/with-pybind11-how-to-split-my-code-into-multiple-modules-files</t>
  </si>
  <si>
    <t>2018-12-13 13:05:22Z</t>
  </si>
  <si>
    <t>2018-12-14 22:36:04Z</t>
  </si>
  <si>
    <t>gmagno</t>
  </si>
  <si>
    <t>python,c++,pybind11</t>
  </si>
  <si>
    <t>https://stackoverflow.com/questions/35321671/compiling-c-code-that-uses-both-r-and-numpy-on-linux</t>
  </si>
  <si>
    <t>2016-02-10 17:14:04Z</t>
  </si>
  <si>
    <t>2016-02-12 12:49:13Z</t>
  </si>
  <si>
    <t>zabolekar</t>
  </si>
  <si>
    <t>python,c,r,numpy</t>
  </si>
  <si>
    <t>https://stackoverflow.com/questions/4058423/how-can-i-serve-a-dynamic-javascript-file-from-wicket</t>
  </si>
  <si>
    <t>2010-10-30 11:12:49Z</t>
  </si>
  <si>
    <t>2010-10-31 00:31:03Z</t>
  </si>
  <si>
    <t>Tom</t>
  </si>
  <si>
    <t>java,javascript,wicket</t>
  </si>
  <si>
    <t>https://stackoverflow.com/questions/11355110/debugging-python-ctypes-segmentation-fault</t>
  </si>
  <si>
    <t>2012-07-06 02:32:26Z</t>
  </si>
  <si>
    <t>2017-01-23 05:31:05Z</t>
  </si>
  <si>
    <t>user1505563</t>
  </si>
  <si>
    <t>c++,python,ctypes</t>
  </si>
  <si>
    <t>https://stackoverflow.com/questions/3400381/calling-a-python-script-from-command-line-without-typing-python-first</t>
  </si>
  <si>
    <t>2010-08-03 20:08:34Z</t>
  </si>
  <si>
    <t>2021-06-23 16:34:34Z</t>
  </si>
  <si>
    <t>Narcolapser</t>
  </si>
  <si>
    <t>python,linux,shell,command-line</t>
  </si>
  <si>
    <t>https://stackoverflow.com/questions/126781/c-union-in-c-sharp</t>
  </si>
  <si>
    <t>2008-09-24 12:20:32Z</t>
  </si>
  <si>
    <t>2018-07-05 22:15:31Z</t>
  </si>
  <si>
    <t>Viktor Elofsson</t>
  </si>
  <si>
    <t>c#,c++,unions</t>
  </si>
  <si>
    <t>https://stackoverflow.com/questions/15321431/how-to-pass-a-list-from-python-by-jinja2-to-javascript</t>
  </si>
  <si>
    <t>2013-03-10 10:54:07Z</t>
  </si>
  <si>
    <t>2021-06-06 23:33:32Z</t>
  </si>
  <si>
    <t>user1843766</t>
  </si>
  <si>
    <t>javascript,python,variables,jinja2</t>
  </si>
  <si>
    <t>https://stackoverflow.com/questions/14341549/passing-a-set-of-numpy-arrays-into-c-function-for-input-and-output</t>
  </si>
  <si>
    <t>2013-01-15 15:54:39Z</t>
  </si>
  <si>
    <t>2013-01-16 12:08:23Z</t>
  </si>
  <si>
    <t>apl</t>
  </si>
  <si>
    <t>python,c,numpy,ctypes,ffi</t>
  </si>
  <si>
    <t>https://stackoverflow.com/questions/5664737/calling-c-dll-from-c-sharp</t>
  </si>
  <si>
    <t>2011-04-14 14:26:42Z</t>
  </si>
  <si>
    <t>2019-08-21 14:10:14Z</t>
  </si>
  <si>
    <t>Mr Moose</t>
  </si>
  <si>
    <t>c#,c,dll,pinvoke,dllimport</t>
  </si>
  <si>
    <t>https://stackoverflow.com/questions/18470702/how-do-i-convert-a-c-sharp-liststring-to-a-javascript-array</t>
  </si>
  <si>
    <t>2013-08-27 16:16:47Z</t>
  </si>
  <si>
    <t>2020-03-07 01:32:18Z</t>
  </si>
  <si>
    <t>bynary</t>
  </si>
  <si>
    <t>c#,javascript,razor</t>
  </si>
  <si>
    <t>https://stackoverflow.com/questions/54899367/send-numpy-array-as-bytes-from-python-to-js-through-flask</t>
  </si>
  <si>
    <t>2019-02-27 06:31:12Z</t>
  </si>
  <si>
    <t>2019-03-02 04:23:07Z</t>
  </si>
  <si>
    <t>Suba Selvandran</t>
  </si>
  <si>
    <t>javascript,python,numpy,flask,data-conversion</t>
  </si>
  <si>
    <t>https://stackoverflow.com/questions/62208433/trouble-passing-a-c-sharp-string-from-userland-to-kernelmode-c-and-using-it-to-f</t>
  </si>
  <si>
    <t>2020-06-05 04:58:44Z</t>
  </si>
  <si>
    <t>2020-10-09 05:48:35Z</t>
  </si>
  <si>
    <t>Ben</t>
  </si>
  <si>
    <t>c#,c,windows-kernel,deviceiocontrol</t>
  </si>
  <si>
    <t>https://stackoverflow.com/questions/4619996/how-to-run-ruby-python-scripts-from-inside-php-passing-and-receiving-parameters</t>
  </si>
  <si>
    <t>2011-01-06 21:20:57Z</t>
  </si>
  <si>
    <t>2016-10-05 10:37:44Z</t>
  </si>
  <si>
    <t>Roger</t>
  </si>
  <si>
    <t>php,python,html,ruby,markdown</t>
  </si>
  <si>
    <t>https://stackoverflow.com/questions/1224793/javascript-serialization-of-datetime-in-asp-net-is-not-giving-a-javascript-date</t>
  </si>
  <si>
    <t>2009-08-03 21:46:58Z</t>
  </si>
  <si>
    <t>2019-01-03 13:36:20Z</t>
  </si>
  <si>
    <t>Your Friend Ken</t>
  </si>
  <si>
    <t>c#,asp.net,javascript,datetime,serialization</t>
  </si>
  <si>
    <t>https://stackoverflow.com/questions/28068305/converting-a-symfony2-php-entity-object-for-use-within-javascript</t>
  </si>
  <si>
    <t>2015-01-21 13:21:02Z</t>
  </si>
  <si>
    <t>2015-03-05 22:59:34Z</t>
  </si>
  <si>
    <t>Matt Cavanagh</t>
  </si>
  <si>
    <t>javascript,php,symfony,object,twig</t>
  </si>
  <si>
    <t>https://stackoverflow.com/questions/6270245/return-c-object-to-java</t>
  </si>
  <si>
    <t>2011-06-07 18:59:54Z</t>
  </si>
  <si>
    <t>2011-06-19 16:56:43Z</t>
  </si>
  <si>
    <t>Afiefh</t>
  </si>
  <si>
    <t>https://stackoverflow.com/questions/43363710/json-net-is-throwing-additional-text-found-in-json-string-after-finishing-deser</t>
  </si>
  <si>
    <t>2017-04-12 08:02:58Z</t>
  </si>
  <si>
    <t>2017-04-12 08:42:00Z</t>
  </si>
  <si>
    <t>Deepak Vasudevan</t>
  </si>
  <si>
    <t>javascript,c#,json,json.net</t>
  </si>
  <si>
    <t>https://stackoverflow.com/questions/30165475/how-to-compress-minimize-size-of-json-jsonify-with-flask-in-python</t>
  </si>
  <si>
    <t>2015-05-11 10:35:18Z</t>
  </si>
  <si>
    <t>2020-12-05 17:32:59Z</t>
  </si>
  <si>
    <t>lakerz</t>
  </si>
  <si>
    <t>javascript,python,json,flask</t>
  </si>
  <si>
    <t>https://stackoverflow.com/questions/33291631/is-there-a-simple-way-to-get-rid-of-junk-values-that-come-when-you-ssh-using-pyt</t>
  </si>
  <si>
    <t>2015-10-22 22:09:58Z</t>
  </si>
  <si>
    <t>2021-03-30 08:15:04Z</t>
  </si>
  <si>
    <t>Rakesh Nittur</t>
  </si>
  <si>
    <t>python,shell,ssh,paramiko,ansi-escape</t>
  </si>
  <si>
    <t>https://stackoverflow.com/questions/8875185/casting-into-a-python-string-from-a-char-returned-by-a-dll</t>
  </si>
  <si>
    <t>2012-01-16 02:26:06Z</t>
  </si>
  <si>
    <t>2012-01-16 07:56:43Z</t>
  </si>
  <si>
    <t>Peter Li</t>
  </si>
  <si>
    <t>python,c,string,ctypes</t>
  </si>
  <si>
    <t>https://stackoverflow.com/questions/41323746/use-python-regex-to-parse-string-of-floats-output-by-java-arrays-deeptostring</t>
  </si>
  <si>
    <t>2016-12-25 18:57:35Z</t>
  </si>
  <si>
    <t>2016-12-25 19:06:38Z</t>
  </si>
  <si>
    <t>NickleDave</t>
  </si>
  <si>
    <t>java,python,arrays,regex,string</t>
  </si>
  <si>
    <t>https://stackoverflow.com/questions/21890805/encrypt-aes-with-c-sharp-to-match-java-encryption</t>
  </si>
  <si>
    <t>2014-02-19 19:47:09Z</t>
  </si>
  <si>
    <t>2015-11-10 01:40:10Z</t>
  </si>
  <si>
    <t>Christopher Johnson</t>
  </si>
  <si>
    <t>c#,java,encryption,aes,rijndaelmanaged</t>
  </si>
  <si>
    <t>https://stackoverflow.com/questions/20676831/how-to-compress-json-in-java-and-decompression-in-javascript</t>
  </si>
  <si>
    <t>2013-12-19 08:37:26Z</t>
  </si>
  <si>
    <t>2014-10-28 15:43:17Z</t>
  </si>
  <si>
    <t>user3118357</t>
  </si>
  <si>
    <t>java,javascript,json</t>
  </si>
  <si>
    <t>https://stackoverflow.com/questions/40643196/php-password-verify-vs-python-bcrypt-hashpw</t>
  </si>
  <si>
    <t>2016-11-16 22:03:59Z</t>
  </si>
  <si>
    <t>2016-12-07 00:30:03Z</t>
  </si>
  <si>
    <t>kdougan</t>
  </si>
  <si>
    <t>php,python,bcrypt,password-encryption</t>
  </si>
  <si>
    <t>https://stackoverflow.com/questions/30005700/convert-stdstring-to-ndk-jstring</t>
  </si>
  <si>
    <t>2015-05-02 18:04:23Z</t>
  </si>
  <si>
    <t>2020-08-25 19:05:28Z</t>
  </si>
  <si>
    <t>zapredelom</t>
  </si>
  <si>
    <t>java,android,c++,android-ndk</t>
  </si>
  <si>
    <t>https://stackoverflow.com/questions/12558996/jquery-knob-display-number-change</t>
  </si>
  <si>
    <t>2012-09-24 04:51:24Z</t>
  </si>
  <si>
    <t>2015-03-20 12:14:41Z</t>
  </si>
  <si>
    <t>Guj Mil</t>
  </si>
  <si>
    <t>php,javascript,jquery,jquery-plugins</t>
  </si>
  <si>
    <t>https://stackoverflow.com/questions/50439315/encryption-and-decryption-between-java-and-javascript-wont-work</t>
  </si>
  <si>
    <t>2018-05-20 21:00:03Z</t>
  </si>
  <si>
    <t>2018-06-11 16:23:03Z</t>
  </si>
  <si>
    <t>javascript,java,encryption,cryptography,aes</t>
  </si>
  <si>
    <t>https://stackoverflow.com/questions/28383478/most-efficient-way-to-fix-an-invalid-json</t>
  </si>
  <si>
    <t>2015-02-07 14:44:23Z</t>
  </si>
  <si>
    <t>2019-12-13 20:35:21Z</t>
  </si>
  <si>
    <t>AaA</t>
  </si>
  <si>
    <t>javascript,c#,json,.net-4.0,fastjson</t>
  </si>
  <si>
    <t>https://stackoverflow.com/questions/11568232/javascript-readable-json-from-python</t>
  </si>
  <si>
    <t>2012-07-19 19:50:28Z</t>
  </si>
  <si>
    <t>2012-07-19 21:06:20Z</t>
  </si>
  <si>
    <t>leonsas</t>
  </si>
  <si>
    <t>javascript,python,django,json</t>
  </si>
  <si>
    <t>https://stackoverflow.com/questions/53340627/typeerror-expected-bytes-like-object-not-str</t>
  </si>
  <si>
    <t>2018-11-16 15:17:20Z</t>
  </si>
  <si>
    <t>2019-12-08 11:42:19Z</t>
  </si>
  <si>
    <t>Shubham Batra</t>
  </si>
  <si>
    <t>javascript,python,base64,angular6</t>
  </si>
  <si>
    <t>https://stackoverflow.com/questions/45992396/jsonobj-data-not-being-passed-via-ajax-and-post-on-ie11-only</t>
  </si>
  <si>
    <t>2017-09-01 02:02:29Z</t>
  </si>
  <si>
    <t>2017-11-13 12:40:26Z</t>
  </si>
  <si>
    <t>JPB</t>
  </si>
  <si>
    <t>javascript,php,ajax</t>
  </si>
  <si>
    <t>https://stackoverflow.com/questions/24164951/2f-instead-of-slash-in-url</t>
  </si>
  <si>
    <t>2014-06-11 14:02:12Z</t>
  </si>
  <si>
    <t>2014-06-11 14:48:44Z</t>
  </si>
  <si>
    <t>ad2003</t>
  </si>
  <si>
    <t>javascript,php,woocommerce</t>
  </si>
  <si>
    <t>https://stackoverflow.com/questions/1662769/rsa-encryption-java-to-php</t>
  </si>
  <si>
    <t>2009-11-02 18:07:20Z</t>
  </si>
  <si>
    <t>2013-10-24 13:27:23Z</t>
  </si>
  <si>
    <t>user201117</t>
  </si>
  <si>
    <t>java,php,rsa</t>
  </si>
  <si>
    <t>https://stackoverflow.com/questions/4086817/l-prefix-for-strings-in-c</t>
  </si>
  <si>
    <t>2010-11-03 12:00:23Z</t>
  </si>
  <si>
    <t>2010-11-06 10:55:47Z</t>
  </si>
  <si>
    <t>Manjoor</t>
  </si>
  <si>
    <t>c#,.net,c++,interop,marshalling</t>
  </si>
  <si>
    <t>https://stackoverflow.com/questions/10515886/converting-jdouble-to-double-of-type-c</t>
  </si>
  <si>
    <t>2012-05-09 12:16:08Z</t>
  </si>
  <si>
    <t>2017-03-02 16:53:11Z</t>
  </si>
  <si>
    <t>program-o-steve</t>
  </si>
  <si>
    <t>https://stackoverflow.com/questions/7045764/scraping-javascript-variables-to-php</t>
  </si>
  <si>
    <t>2011-08-12 20:10:50Z</t>
  </si>
  <si>
    <t>2014-12-18 23:30:59Z</t>
  </si>
  <si>
    <t>tr3online</t>
  </si>
  <si>
    <t>php,javascript,parsing,xpath</t>
  </si>
  <si>
    <t>https://stackoverflow.com/questions/8911075/javascript-and-java-date-json-serialization</t>
  </si>
  <si>
    <t>2012-01-18 13:40:07Z</t>
  </si>
  <si>
    <t>2020-12-23 05:58:45Z</t>
  </si>
  <si>
    <t>ike3</t>
  </si>
  <si>
    <t>java,javascript,spring,date,spring-mvc</t>
  </si>
  <si>
    <t>https://stackoverflow.com/questions/38243721/return-json-object-from-php-script</t>
  </si>
  <si>
    <t>2016-07-07 10:56:29Z</t>
  </si>
  <si>
    <t>2016-07-07 11:22:33Z</t>
  </si>
  <si>
    <t>javascript,php,jquery,ajax</t>
  </si>
  <si>
    <t>https://stackoverflow.com/questions/11873878/c-sharp-encryption-to-php-decryption</t>
  </si>
  <si>
    <t>2012-08-08 22:03:59Z</t>
  </si>
  <si>
    <t>2015-03-06 19:36:14Z</t>
  </si>
  <si>
    <t>solidau</t>
  </si>
  <si>
    <t>c#,php,cookies,encryption,encryption-symmetric</t>
  </si>
  <si>
    <t>https://stackoverflow.com/questions/1377278/passing-json-encoded-variable-from-php-to-javascript-via-post</t>
  </si>
  <si>
    <t>2009-09-04 04:50:31Z</t>
  </si>
  <si>
    <t>2016-04-20 12:13:00Z</t>
  </si>
  <si>
    <t>FrancisV</t>
  </si>
  <si>
    <t>php,javascript,json,post</t>
  </si>
  <si>
    <t>https://stackoverflow.com/questions/2562648/json-limitation</t>
  </si>
  <si>
    <t>2010-04-01 18:23:38Z</t>
  </si>
  <si>
    <t>2013-09-04 15:37:33Z</t>
  </si>
  <si>
    <t>thedp</t>
  </si>
  <si>
    <t>php,javascript,ajax,json</t>
  </si>
  <si>
    <t>https://stackoverflow.com/questions/39244589/serializing-image-stream-using-protobuf</t>
  </si>
  <si>
    <t>2016-08-31 08:34:10Z</t>
  </si>
  <si>
    <t>2019-10-02 09:03:39Z</t>
  </si>
  <si>
    <t>Dong Li</t>
  </si>
  <si>
    <t>python,c++,protocol-buffers</t>
  </si>
  <si>
    <t>https://stackoverflow.com/questions/14036004/how-to-convert-jobject-to-jstring</t>
  </si>
  <si>
    <t>2012-12-26 04:28:17Z</t>
  </si>
  <si>
    <t>2012-12-26 09:47:09Z</t>
  </si>
  <si>
    <t>glo</t>
  </si>
  <si>
    <t>java,c++,java-native-interface,cocos2d-x</t>
  </si>
  <si>
    <t>https://stackoverflow.com/questions/17124712/jni-android-converting-char-to-byte-array-and-return-it-to-java</t>
  </si>
  <si>
    <t>2013-06-15 14:32:15Z</t>
  </si>
  <si>
    <t>2014-06-11 13:50:26Z</t>
  </si>
  <si>
    <t>Vektor88</t>
  </si>
  <si>
    <t>java,android,c,android-ndk</t>
  </si>
  <si>
    <t>https://stackoverflow.com/questions/7559676/how-to-correctly-deserialize-a-json-string-into-the-class-that-contains-a-nested</t>
  </si>
  <si>
    <t>2011-09-26 18:40:02Z</t>
  </si>
  <si>
    <t>2012-11-07 13:34:02Z</t>
  </si>
  <si>
    <t>EbbnFlow</t>
  </si>
  <si>
    <t>c#,javascript,.net,asp.net,json</t>
  </si>
  <si>
    <t>https://stackoverflow.com/questions/6236786/customize-jquery-autocomplete-result</t>
  </si>
  <si>
    <t>2011-06-04 12:40:16Z</t>
  </si>
  <si>
    <t>2011-06-23 14:04:02Z</t>
  </si>
  <si>
    <t>Fazoulette</t>
  </si>
  <si>
    <t>php,javascript,jquery,autocomplete</t>
  </si>
  <si>
    <t>https://stackoverflow.com/questions/6536826/dealing-with-commas-in-csv</t>
  </si>
  <si>
    <t>2011-06-30 15:02:20Z</t>
  </si>
  <si>
    <t>2012-10-03 23:52:04Z</t>
  </si>
  <si>
    <t>Lord Loh.</t>
  </si>
  <si>
    <t>php,javascript,regex,soap,csv</t>
  </si>
  <si>
    <t>https://stackoverflow.com/questions/43196260/cakephp-how-to-call-javascript-function-in-link</t>
  </si>
  <si>
    <t>2017-04-04 00:08:32Z</t>
  </si>
  <si>
    <t>2017-09-13 07:16:59Z</t>
  </si>
  <si>
    <t>Dennis</t>
  </si>
  <si>
    <t>javascript,php,html,cakephp</t>
  </si>
  <si>
    <t>https://stackoverflow.com/questions/11952365/accessing-an-array-of-pointers-within-a-structure-from-java-with-swig</t>
  </si>
  <si>
    <t>2012-08-14 12:33:41Z</t>
  </si>
  <si>
    <t>2017-11-08 15:40:21Z</t>
  </si>
  <si>
    <t>Svetoslav Marinov</t>
  </si>
  <si>
    <t>java,c,swig</t>
  </si>
  <si>
    <t>https://stackoverflow.com/questions/16062824/convert-object-of-class-stdclass-to-json-object</t>
  </si>
  <si>
    <t>2013-04-17 14:30:41Z</t>
  </si>
  <si>
    <t>2015-09-12 20:13:10Z</t>
  </si>
  <si>
    <t>nielsv</t>
  </si>
  <si>
    <t>php,javascript,json,object,converter</t>
  </si>
  <si>
    <t>https://stackoverflow.com/questions/3838921/how-to-pass-byte-arrays-between-java-and-javascript</t>
  </si>
  <si>
    <t>2010-10-01 12:01:10Z</t>
  </si>
  <si>
    <t>2018-07-05 13:12:34Z</t>
  </si>
  <si>
    <t>abb</t>
  </si>
  <si>
    <t>java,javascript,arrays,byte</t>
  </si>
  <si>
    <t>https://stackoverflow.com/questions/3260259/output-jstl-escaped</t>
  </si>
  <si>
    <t>2010-07-15 21:33:35Z</t>
  </si>
  <si>
    <t>2016-06-04 03:54:18Z</t>
  </si>
  <si>
    <t>UpHelix</t>
  </si>
  <si>
    <t>java,javascript,jstl,escaping</t>
  </si>
  <si>
    <t>https://stackoverflow.com/questions/26983005/importing-python-flask-json-dictionary-into-javascript-error</t>
  </si>
  <si>
    <t>2014-11-17 22:15:30Z</t>
  </si>
  <si>
    <t>2021-07-03 16:41:52Z</t>
  </si>
  <si>
    <t>tuetates</t>
  </si>
  <si>
    <t>https://stackoverflow.com/questions/3431950/rijndael-256-encrypt-decrypt-between-c-sharp-and-php</t>
  </si>
  <si>
    <t>2010-08-07 20:34:55Z</t>
  </si>
  <si>
    <t>2011-09-09 10:15:37Z</t>
  </si>
  <si>
    <t>arbme</t>
  </si>
  <si>
    <t>c#,php,encryption,mcrypt,rijndael</t>
  </si>
  <si>
    <t>https://stackoverflow.com/questions/46093210/c-sharp-version-of-the-javascript-function-btoa</t>
  </si>
  <si>
    <t>2017-09-07 09:49:23Z</t>
  </si>
  <si>
    <t>2020-05-27 11:05:56Z</t>
  </si>
  <si>
    <t>James Morgan</t>
  </si>
  <si>
    <t>javascript,c#,.net,node.js</t>
  </si>
  <si>
    <t>https://stackoverflow.com/questions/22978025/jackson-json-how-to-convert-array-to-jsonnode-and-objectnode</t>
  </si>
  <si>
    <t>2014-04-10 03:19:08Z</t>
  </si>
  <si>
    <t>2020-10-31 12:54:12Z</t>
  </si>
  <si>
    <t>Stupidfrog</t>
  </si>
  <si>
    <t>java,javascript,json,jackson</t>
  </si>
  <si>
    <t>https://stackoverflow.com/questions/29760761/aes-256-on-the-client-side-js-and-in-the-server-php</t>
  </si>
  <si>
    <t>2015-04-21 00:25:11Z</t>
  </si>
  <si>
    <t>2017-02-27 20:18:07Z</t>
  </si>
  <si>
    <t>thebestclass</t>
  </si>
  <si>
    <t>javascript,php,encryption,cryptography,cryptojs</t>
  </si>
  <si>
    <t>https://stackoverflow.com/questions/4080344/decompress-string-in-c-sharp-which-were-compressed-by-phps-gzcompress</t>
  </si>
  <si>
    <t>2010-11-02 17:23:59Z</t>
  </si>
  <si>
    <t>2019-10-16 10:08:27Z</t>
  </si>
  <si>
    <t>KitKat</t>
  </si>
  <si>
    <t>c#,php,.net,compression</t>
  </si>
  <si>
    <t>https://stackoverflow.com/questions/38916788/accessing-laravel-relations-in-javascript-code</t>
  </si>
  <si>
    <t>2016-08-12 11:22:32Z</t>
  </si>
  <si>
    <t>2017-02-11 23:06:45Z</t>
  </si>
  <si>
    <t>micky</t>
  </si>
  <si>
    <t>javascript,php,laravel</t>
  </si>
  <si>
    <t>https://stackoverflow.com/questions/28573479/cython-python-c-inheritance-passing-derived-class-as-argument-to-function-e</t>
  </si>
  <si>
    <t>2015-02-17 23:51:54Z</t>
  </si>
  <si>
    <t>2016-01-04 10:56:11Z</t>
  </si>
  <si>
    <t>jeet.m</t>
  </si>
  <si>
    <t>python,c++,inheritance,cython</t>
  </si>
  <si>
    <t>https://stackoverflow.com/questions/45658004/how-to-send-audio-blob-from-javascript-to-java-spring-server</t>
  </si>
  <si>
    <t>2017-08-13 07:06:59Z</t>
  </si>
  <si>
    <t>2017-08-13 18:33:48Z</t>
  </si>
  <si>
    <t>Peter Lustig</t>
  </si>
  <si>
    <t>javascript,java,spring,spring-boot,webrtc</t>
  </si>
  <si>
    <t>https://stackoverflow.com/questions/5058688/cant-post-large-html5-canvas-to-server</t>
  </si>
  <si>
    <t>2011-02-20 17:29:24Z</t>
  </si>
  <si>
    <t>2011-02-21 20:43:34Z</t>
  </si>
  <si>
    <t>Spectraljump</t>
  </si>
  <si>
    <t>php,javascript,html,canvas,http-post</t>
  </si>
  <si>
    <t>https://stackoverflow.com/questions/35752909/bash-script-printf-colors-from-variable</t>
  </si>
  <si>
    <t>2016-03-02 16:29:07Z</t>
  </si>
  <si>
    <t>2016-03-02 17:37:07Z</t>
  </si>
  <si>
    <t>Alex Mikhaelson</t>
  </si>
  <si>
    <t>c,bash,shell</t>
  </si>
  <si>
    <t>https://stackoverflow.com/questions/16359953/why-does-my-unicode-string-get-corrupted-when-passed-from-java-applet-to-java-s</t>
  </si>
  <si>
    <t>2013-05-03 13:22:03Z</t>
  </si>
  <si>
    <t>2013-05-31 10:01:08Z</t>
  </si>
  <si>
    <t>Inuniku</t>
  </si>
  <si>
    <t>java,javascript,unicode,utf-8,applet</t>
  </si>
  <si>
    <t>https://stackoverflow.com/questions/34921078/how-to-convert-indic-characters-to-unicode-escaped-characters</t>
  </si>
  <si>
    <t>2016-01-21 10:24:51Z</t>
  </si>
  <si>
    <t>2016-01-21 12:14:00Z</t>
  </si>
  <si>
    <t>Anirudh M</t>
  </si>
  <si>
    <t>javascript,php,android,json,utf-8</t>
  </si>
  <si>
    <t>https://stackoverflow.com/questions/3776485/marshal-c-int-array-to-c-sharp</t>
  </si>
  <si>
    <t>2010-09-23 08:16:53Z</t>
  </si>
  <si>
    <t>2020-03-25 20:56:27Z</t>
  </si>
  <si>
    <t>Seth</t>
  </si>
  <si>
    <t>https://stackoverflow.com/questions/967443/python-module-to-shellquote-unshellquote</t>
  </si>
  <si>
    <t>2009-06-08 22:56:09Z</t>
  </si>
  <si>
    <t>2015-01-26 08:59:18Z</t>
  </si>
  <si>
    <t>YGA</t>
  </si>
  <si>
    <t>python,shell,quoting</t>
  </si>
  <si>
    <t>https://stackoverflow.com/questions/5719471/md5-hash-discrepancy-between-python-and-php</t>
  </si>
  <si>
    <t>2011-04-19 16:16:52Z</t>
  </si>
  <si>
    <t>2011-04-19 17:52:39Z</t>
  </si>
  <si>
    <t>thedestry</t>
  </si>
  <si>
    <t>php,python,md5</t>
  </si>
  <si>
    <t>https://stackoverflow.com/questions/9001526/send-array-with-ajax-to-php-script</t>
  </si>
  <si>
    <t>2012-01-25 10:56:18Z</t>
  </si>
  <si>
    <t>2018-07-01 20:41:59Z</t>
  </si>
  <si>
    <t>Paul Attuck</t>
  </si>
  <si>
    <t>https://stackoverflow.com/questions/28749209/do-cython-extension-types-support-class-attributes</t>
  </si>
  <si>
    <t>2015-02-26 17:43:19Z</t>
  </si>
  <si>
    <t>2017-12-08 07:28:12Z</t>
  </si>
  <si>
    <t>Pwnosaurus</t>
  </si>
  <si>
    <t>python,c,class,types,cython</t>
  </si>
  <si>
    <t>https://stackoverflow.com/questions/35731305/do-json-libraries-agree-on-whats-the-double-precision-value-of-5000-1</t>
  </si>
  <si>
    <t>2016-03-01 19:06:46Z</t>
  </si>
  <si>
    <t>2016-03-03 15:44:54Z</t>
  </si>
  <si>
    <t>Aaron Mansheim</t>
  </si>
  <si>
    <t>java,c#,json</t>
  </si>
  <si>
    <t>https://stackoverflow.com/questions/1406917/compressing-with-java-decompressing-with-php</t>
  </si>
  <si>
    <t>2009-09-10 18:24:41Z</t>
  </si>
  <si>
    <t>2014-11-09 07:34:29Z</t>
  </si>
  <si>
    <t>java,php,gzip,gzipoutputstream</t>
  </si>
  <si>
    <t>https://stackoverflow.com/questions/30112285/create-dynamic-json-from-foreach</t>
  </si>
  <si>
    <t>2015-05-07 21:50:04Z</t>
  </si>
  <si>
    <t>2015-10-07 10:25:45Z</t>
  </si>
  <si>
    <t>alex</t>
  </si>
  <si>
    <t>javascript,php,mysql,json,flot</t>
  </si>
  <si>
    <t>https://stackoverflow.com/questions/58250341/what-happens-if-undefined-c-behaviour-meets-c-defined-behaviour</t>
  </si>
  <si>
    <t>2019-10-05 16:41:01Z</t>
  </si>
  <si>
    <t>2019-10-06 02:27:19Z</t>
  </si>
  <si>
    <t>Daniel Stephens</t>
  </si>
  <si>
    <t>c++,c,undefined-behavior</t>
  </si>
  <si>
    <t>https://stackoverflow.com/questions/60333494/this-paymentmethod-was-previously-used-without-being-attached-to-a-customer-or-w</t>
  </si>
  <si>
    <t>2020-02-21 06:52:57Z</t>
  </si>
  <si>
    <t>2020-02-21 21:58:12Z</t>
  </si>
  <si>
    <t>Josheee</t>
  </si>
  <si>
    <t>javascript,python,stripe-payments</t>
  </si>
  <si>
    <t>https://stackoverflow.com/questions/54876346/pybind11-and-stdvector-how-to-free-data-using-capsules</t>
  </si>
  <si>
    <t>2019-02-25 23:34:07Z</t>
  </si>
  <si>
    <t>2019-02-26 17:40:06Z</t>
  </si>
  <si>
    <t>Chris Swierczewski</t>
  </si>
  <si>
    <t>python,c++,numpy,c++11,pybind11</t>
  </si>
  <si>
    <t>https://stackoverflow.com/questions/60032983/record-voice-with-recorder-js-and-upload-it-to-python-flask-server-but-wav-file</t>
  </si>
  <si>
    <t>2020-02-03 04:09:32Z</t>
  </si>
  <si>
    <t>2020-06-13 09:06:40Z</t>
  </si>
  <si>
    <t>Kazuaki Suzuki</t>
  </si>
  <si>
    <t>javascript,python,flask,audio,windows-subsystem-for-linux</t>
  </si>
  <si>
    <t>https://stackoverflow.com/questions/22491921/how-to-use-a-python-list-to-assign-a-stdvector-in-c-using-swig</t>
  </si>
  <si>
    <t>2014-03-18 21:59:59Z</t>
  </si>
  <si>
    <t>2014-10-09 20:27:52Z</t>
  </si>
  <si>
    <t>Daniel Matz</t>
  </si>
  <si>
    <t>python,c++,swig</t>
  </si>
  <si>
    <t>https://stackoverflow.com/questions/56756867/iactivescriptparse32parsescripttext-memory-leak</t>
  </si>
  <si>
    <t>2019-06-25 14:56:22Z</t>
  </si>
  <si>
    <t>2019-07-03 13:43:00Z</t>
  </si>
  <si>
    <t>xileb0</t>
  </si>
  <si>
    <t>javascript,c#,.net,scriptengine,jint</t>
  </si>
  <si>
    <t>https://stackoverflow.com/questions/19325761/python-executing-shell-script-with-argumentsvariable-but-argument-is-not-rea</t>
  </si>
  <si>
    <t>2013-10-11 19:26:22Z</t>
  </si>
  <si>
    <t>2020-07-01 21:24:00Z</t>
  </si>
  <si>
    <t>creativeDrive</t>
  </si>
  <si>
    <t>https://stackoverflow.com/questions/10903750/access-javascript-array-elements-from-c-sharp-via-webbrowser</t>
  </si>
  <si>
    <t>2012-06-05 19:35:50Z</t>
  </si>
  <si>
    <t>2012-06-06 13:15:54Z</t>
  </si>
  <si>
    <t>Jamie Mueller</t>
  </si>
  <si>
    <t>c#,javascript,com,browser</t>
  </si>
  <si>
    <t>https://stackoverflow.com/questions/50579572/export-a-variable-from-bash-and-use-it-in-python</t>
  </si>
  <si>
    <t>2018-05-29 08:21:43Z</t>
  </si>
  <si>
    <t>2019-03-01 12:55:57Z</t>
  </si>
  <si>
    <t>Georgi Stoyanov</t>
  </si>
  <si>
    <t>python,linux,bash,shell</t>
  </si>
  <si>
    <t>https://stackoverflow.com/questions/10801258/read-argument-with-spaces-in-python-script-from-a-shell-script</t>
  </si>
  <si>
    <t>2012-05-29 14:33:27Z</t>
  </si>
  <si>
    <t>2012-06-29 16:26:18Z</t>
  </si>
  <si>
    <t>Adam Morris</t>
  </si>
  <si>
    <t>https://stackoverflow.com/questions/9506437/python-subprocess-call-returns-command-not-found-terminal-executes-correctly</t>
  </si>
  <si>
    <t>2012-02-29 20:53:06Z</t>
  </si>
  <si>
    <t>2012-02-29 22:32:15Z</t>
  </si>
  <si>
    <t>Aduen</t>
  </si>
  <si>
    <t>python,shell,terminal,subprocess</t>
  </si>
  <si>
    <t>https://stackoverflow.com/questions/6354358/c-dll-returned-string-is-corrupted-in-the-c-sharp-caller-why</t>
  </si>
  <si>
    <t>2011-06-15 07:21:45Z</t>
  </si>
  <si>
    <t>2016-06-01 19:55:36Z</t>
  </si>
  <si>
    <t>McArthor Lee</t>
  </si>
  <si>
    <t>c#,c++,string,dll,return</t>
  </si>
  <si>
    <t>https://stackoverflow.com/questions/3730840/how-to-create-and-initialize-safearray-of-doubles-in-c-to-pass-to-c-sharp</t>
  </si>
  <si>
    <t>2010-09-16 21:08:30Z</t>
  </si>
  <si>
    <t>2014-08-21 15:49:25Z</t>
  </si>
  <si>
    <t>Chris</t>
  </si>
  <si>
    <t>c#,c++,visual-c++,safearray</t>
  </si>
  <si>
    <t>https://stackoverflow.com/questions/8238328/how-to-know-whether-it-is-a-memory-leak-or-not-when-calling-native-code-in-java</t>
  </si>
  <si>
    <t>2011-11-23 06:56:04Z</t>
  </si>
  <si>
    <t>2012-01-28 21:05:08Z</t>
  </si>
  <si>
    <t>HashimR</t>
  </si>
  <si>
    <t>java,c++,memory-leaks,java-native-interface</t>
  </si>
  <si>
    <t>https://stackoverflow.com/questions/22105529/np-ascontiguousarray-versus-np-asarray-with-cython</t>
  </si>
  <si>
    <t>2014-02-28 20:51:44Z</t>
  </si>
  <si>
    <t>2014-02-28 21:27:06Z</t>
  </si>
  <si>
    <t>python,c,arrays,numpy,cython</t>
  </si>
  <si>
    <t>https://stackoverflow.com/questions/9745139/building-relative-urls-for-an-mvc-app-with-javascript</t>
  </si>
  <si>
    <t>2012-03-16 22:09:46Z</t>
  </si>
  <si>
    <t>2012-03-16 22:58:20Z</t>
  </si>
  <si>
    <t>one.beat.consumer</t>
  </si>
  <si>
    <t>c#,javascript,asp.net-mvc,knockout.js,relative-path</t>
  </si>
  <si>
    <t>https://stackoverflow.com/questions/33377764/error-using-callback-in-python</t>
  </si>
  <si>
    <t>2015-10-27 20:22:51Z</t>
  </si>
  <si>
    <t>2015-11-18 02:28:15Z</t>
  </si>
  <si>
    <t>Alexander Leon VI</t>
  </si>
  <si>
    <t>python,c++,error-handling,callback,char</t>
  </si>
  <si>
    <t>https://stackoverflow.com/questions/915790/memory-leak-using-jni-to-retrieve-strings-value-from-java-code</t>
  </si>
  <si>
    <t>2009-05-27 13:44:44Z</t>
  </si>
  <si>
    <t>2015-11-25 16:49:56Z</t>
  </si>
  <si>
    <t>rperez</t>
  </si>
  <si>
    <t>java,c,string,memory-leaks,java-native-interface</t>
  </si>
  <si>
    <t>https://stackoverflow.com/questions/18421111/how-to-expose-nullable-types-via-com</t>
  </si>
  <si>
    <t>2013-08-24 17:14:38Z</t>
  </si>
  <si>
    <t>2013-09-06 00:15:12Z</t>
  </si>
  <si>
    <t>Dennis Jones</t>
  </si>
  <si>
    <t>c#,c++,com-interop</t>
  </si>
  <si>
    <t>https://stackoverflow.com/questions/33789011/bokeh-implementing-custom-javascript-in-an-image-plot</t>
  </si>
  <si>
    <t>2015-11-18 19:46:39Z</t>
  </si>
  <si>
    <t>2019-10-14 04:50:24Z</t>
  </si>
  <si>
    <t>Casey P</t>
  </si>
  <si>
    <t>javascript,python,bokeh</t>
  </si>
  <si>
    <t>https://stackoverflow.com/questions/37453671/run-a-sql-query-in-js</t>
  </si>
  <si>
    <t>2016-05-26 06:58:20Z</t>
  </si>
  <si>
    <t>2017-05-31 15:47:23Z</t>
  </si>
  <si>
    <t>John</t>
  </si>
  <si>
    <t>javascript,php,jquery,sql</t>
  </si>
  <si>
    <t>https://stackoverflow.com/questions/32221090/org-springframework-web-bind-missingservletrequestparameterexception-required</t>
  </si>
  <si>
    <t>2015-08-26 08:04:09Z</t>
  </si>
  <si>
    <t>2018-02-09 20:08:30Z</t>
  </si>
  <si>
    <t>Kumar Narendra</t>
  </si>
  <si>
    <t>javascript,java,spring,spring-mvc,post</t>
  </si>
  <si>
    <t>https://stackoverflow.com/questions/24139389/unable-to-find-out-what-return-code-of-11-means</t>
  </si>
  <si>
    <t>2014-06-10 11:03:45Z</t>
  </si>
  <si>
    <t>2014-06-10 11:08:02Z</t>
  </si>
  <si>
    <t>PatB</t>
  </si>
  <si>
    <t>python,c,linux</t>
  </si>
  <si>
    <t>https://stackoverflow.com/questions/34517668/zend-how-to-correctly-destruct-a-custom-object-in-php-7</t>
  </si>
  <si>
    <t>2015-12-29 19:24:36Z</t>
  </si>
  <si>
    <t>2018-05-18 11:08:46Z</t>
  </si>
  <si>
    <t>Frederick Zhang</t>
  </si>
  <si>
    <t>php,c,php-extension,php-internals,php-7</t>
  </si>
  <si>
    <t>https://stackoverflow.com/questions/2032470/python-ctypes-callback-function-to-swig</t>
  </si>
  <si>
    <t>2010-01-09 05:35:31Z</t>
  </si>
  <si>
    <t>2010-03-16 14:21:11Z</t>
  </si>
  <si>
    <t>Knio</t>
  </si>
  <si>
    <t>c++,python,swig,ctypes</t>
  </si>
  <si>
    <t>https://stackoverflow.com/questions/16517355/how-to-send-by-socket-c-compatible-struct-from-java</t>
  </si>
  <si>
    <t>2013-05-13 08:04:25Z</t>
  </si>
  <si>
    <t>2013-05-14 09:36:04Z</t>
  </si>
  <si>
    <t>Piotr M??ller</t>
  </si>
  <si>
    <t>java,c++,sockets,struct,double</t>
  </si>
  <si>
    <t>https://stackoverflow.com/questions/1533916/how-to-set-up-a-c-function-so-that-it-can-be-used-by-p-invoke</t>
  </si>
  <si>
    <t>2009-10-07 20:15:14Z</t>
  </si>
  <si>
    <t>2016-02-24 09:30:21Z</t>
  </si>
  <si>
    <t>x4000</t>
  </si>
  <si>
    <t>c#,c++,pinvoke,dllimport,extern</t>
  </si>
  <si>
    <t>https://stackoverflow.com/questions/4324819/pass-data-between-java-and-c</t>
  </si>
  <si>
    <t>2010-12-01 13:30:01Z</t>
  </si>
  <si>
    <t>2010-12-01 15:12:12Z</t>
  </si>
  <si>
    <t>https://stackoverflow.com/questions/52090826/passing-opencv-mat-from-c-to-python</t>
  </si>
  <si>
    <t>2018-08-30 06:51:08Z</t>
  </si>
  <si>
    <t>2019-07-25 06:05:54Z</t>
  </si>
  <si>
    <t>EYakoumi</t>
  </si>
  <si>
    <t>python,c++,opencv</t>
  </si>
  <si>
    <t>https://stackoverflow.com/questions/10109700/embedding-matplotlib-in-c</t>
  </si>
  <si>
    <t>2012-04-11 16:05:37Z</t>
  </si>
  <si>
    <t>2014-07-01 02:42:36Z</t>
  </si>
  <si>
    <t>bbc</t>
  </si>
  <si>
    <t>c++,python,matplotlib</t>
  </si>
  <si>
    <t>https://stackoverflow.com/questions/10930789/insert-backbone-js-model-into-mysql-database</t>
  </si>
  <si>
    <t>2012-06-07 11:20:18Z</t>
  </si>
  <si>
    <t>2013-06-05 14:02:12Z</t>
  </si>
  <si>
    <t>rpabon</t>
  </si>
  <si>
    <t>php,javascript,mysql,backbone.js</t>
  </si>
  <si>
    <t>https://stackoverflow.com/questions/16932113/passing-multiple-php-variables-to-shell-exec</t>
  </si>
  <si>
    <t>2013-06-05 05:22:34Z</t>
  </si>
  <si>
    <t>2019-01-28 23:17:50Z</t>
  </si>
  <si>
    <t>user2314387</t>
  </si>
  <si>
    <t>php,shell,shell-exec</t>
  </si>
  <si>
    <t>https://stackoverflow.com/questions/6780077/system-outofmemoryexception-when-getting-string-array-from-c-on-c-sharp</t>
  </si>
  <si>
    <t>2011-07-21 17:20:16Z</t>
  </si>
  <si>
    <t>2011-07-22 07:56:11Z</t>
  </si>
  <si>
    <t>Assaf</t>
  </si>
  <si>
    <t>c#,c++,exception,dll,interop</t>
  </si>
  <si>
    <t>https://stackoverflow.com/questions/39154055/how-to-pass-char-in-struct-from-c-sharp-to-c</t>
  </si>
  <si>
    <t>2016-08-25 20:16:43Z</t>
  </si>
  <si>
    <t>2016-08-25 22:32:41Z</t>
  </si>
  <si>
    <t>user3736336</t>
  </si>
  <si>
    <t>https://stackoverflow.com/questions/35444656/thrift-java-client-cannot-handle-union-properly</t>
  </si>
  <si>
    <t>2016-02-16 22:57:45Z</t>
  </si>
  <si>
    <t>2016-08-24 19:19:05Z</t>
  </si>
  <si>
    <t>wilbeibi</t>
  </si>
  <si>
    <t>java,c++,thrift,unions</t>
  </si>
  <si>
    <t>https://stackoverflow.com/questions/18647841/retrieve-exit-status-from-php-script-inside-of-shell-script</t>
  </si>
  <si>
    <t>2013-09-06 00:04:26Z</t>
  </si>
  <si>
    <t>2021-06-01 07:17:17Z</t>
  </si>
  <si>
    <t>Buttle Butkus</t>
  </si>
  <si>
    <t>php,bash,shell,exit-code</t>
  </si>
  <si>
    <t>https://stackoverflow.com/questions/11141336/filestorage-for-opencv-python-api</t>
  </si>
  <si>
    <t>2012-06-21 15:18:00Z</t>
  </si>
  <si>
    <t>2020-03-27 02:56:51Z</t>
  </si>
  <si>
    <t>garak</t>
  </si>
  <si>
    <t>c++,python,image-processing,opencv</t>
  </si>
  <si>
    <t>https://stackoverflow.com/questions/42506296/converting-python-dictionary-to-ctypes-structure</t>
  </si>
  <si>
    <t>2017-02-28 10:31:00Z</t>
  </si>
  <si>
    <t>2021-06-14 15:41:08Z</t>
  </si>
  <si>
    <t>Rak</t>
  </si>
  <si>
    <t>python,c,dictionary,ctypes</t>
  </si>
  <si>
    <t>https://stackoverflow.com/questions/43933897/set-environment-variables-by-file-using-python</t>
  </si>
  <si>
    <t>2017-05-12 09:16:38Z</t>
  </si>
  <si>
    <t>2020-02-04 21:50:14Z</t>
  </si>
  <si>
    <t>user092</t>
  </si>
  <si>
    <t>python,linux,shell</t>
  </si>
  <si>
    <t>https://stackoverflow.com/questions/17048140/convert-multidimensional-php-array-to-javascript-array</t>
  </si>
  <si>
    <t>2013-06-11 15:34:46Z</t>
  </si>
  <si>
    <t>2016-04-02 12:12:06Z</t>
  </si>
  <si>
    <t>user1186173</t>
  </si>
  <si>
    <t>https://stackoverflow.com/questions/6089214/how-do-i-marshal-wchar-t-from-c-to-c-sharp-as-an-out-parameter-or-return-valu</t>
  </si>
  <si>
    <t>2011-05-22 16:26:22Z</t>
  </si>
  <si>
    <t>2011-05-22 17:10:35Z</t>
  </si>
  <si>
    <t>bikmak</t>
  </si>
  <si>
    <t>https://stackoverflow.com/questions/17244488/reading-struct-in-python-from-created-struct-in-c</t>
  </si>
  <si>
    <t>2013-06-21 21:21:16Z</t>
  </si>
  <si>
    <t>2021-02-26 09:04:56Z</t>
  </si>
  <si>
    <t>SchwabTheDeck</t>
  </si>
  <si>
    <t>https://stackoverflow.com/questions/2228275/java-generics-and-jni</t>
  </si>
  <si>
    <t>2010-02-09 10:22:30Z</t>
  </si>
  <si>
    <t>2010-02-15 01:05:59Z</t>
  </si>
  <si>
    <t>Aaron S</t>
  </si>
  <si>
    <t>java,c++,generics,java-native-interface</t>
  </si>
  <si>
    <t>https://stackoverflow.com/questions/25379340/nashorn-java-collections-how-to-implement-equals-and-hashcode-in-pure-javascri</t>
  </si>
  <si>
    <t>2014-08-19 08:56:30Z</t>
  </si>
  <si>
    <t>2014-08-23 21:26:26Z</t>
  </si>
  <si>
    <t>Arseny Kovalchuk</t>
  </si>
  <si>
    <t>java,javascript,equals,hashcode,nashorn</t>
  </si>
  <si>
    <t>https://stackoverflow.com/questions/21477881/use-javascript-to-update-a-json-file</t>
  </si>
  <si>
    <t>2014-01-31 10:35:44Z</t>
  </si>
  <si>
    <t>2014-01-31 13:48:01Z</t>
  </si>
  <si>
    <t>DrBoon</t>
  </si>
  <si>
    <t>javascript,php,jquery,json,asp-classic</t>
  </si>
  <si>
    <t>https://stackoverflow.com/questions/8688400/using-managed-threads-and-fibers-in-clr</t>
  </si>
  <si>
    <t>2011-12-31 13:33:38Z</t>
  </si>
  <si>
    <t>2018-05-21 10:41:15Z</t>
  </si>
  <si>
    <t>Wayne</t>
  </si>
  <si>
    <t>c#,c++,exception-handling,fibers</t>
  </si>
  <si>
    <t>https://stackoverflow.com/questions/15787748/evaluating-javascript-using-a-java-code</t>
  </si>
  <si>
    <t>2013-04-03 12:46:35Z</t>
  </si>
  <si>
    <t>2021-04-19 05:35:02Z</t>
  </si>
  <si>
    <t>Abdul Rahim Haddad</t>
  </si>
  <si>
    <t>java,javascript,web</t>
  </si>
  <si>
    <t>https://stackoverflow.com/questions/18088977/creating-a-byte-in-c-and-returning-it-to-java-using-jni</t>
  </si>
  <si>
    <t>2013-08-06 19:37:37Z</t>
  </si>
  <si>
    <t>2015-02-13 21:21:49Z</t>
  </si>
  <si>
    <t>Szymon Smakolski</t>
  </si>
  <si>
    <t>https://stackoverflow.com/questions/51065913/outlook-refuses-password-from-cryptprotectdata</t>
  </si>
  <si>
    <t>2018-06-27 14:55:09Z</t>
  </si>
  <si>
    <t>2019-06-28 09:39:02Z</t>
  </si>
  <si>
    <t>Diego Bauleo</t>
  </si>
  <si>
    <t>c#,c++,outlook</t>
  </si>
  <si>
    <t>https://stackoverflow.com/questions/14124695/seg-fault-in-php-extension</t>
  </si>
  <si>
    <t>2013-01-02 15:36:16Z</t>
  </si>
  <si>
    <t>2013-01-08 15:11:33Z</t>
  </si>
  <si>
    <t>Matt</t>
  </si>
  <si>
    <t>php,c,segmentation-fault,php-extension,php-internals</t>
  </si>
  <si>
    <t>https://stackoverflow.com/questions/5368720/c-sharp-calling-native-c-all-functions-what-types-to-use</t>
  </si>
  <si>
    <t>2011-03-20 13:18:03Z</t>
  </si>
  <si>
    <t>2011-03-20 14:27:50Z</t>
  </si>
  <si>
    <t>ghet</t>
  </si>
  <si>
    <t>c#,.net,c++,windows,pinvoke</t>
  </si>
  <si>
    <t>https://stackoverflow.com/questions/31334390/c-sharp-property-value-doesnt-get-modified-within-javascript-jquery</t>
  </si>
  <si>
    <t>2015-07-10 06:57:48Z</t>
  </si>
  <si>
    <t>2015-07-10 09:30:43Z</t>
  </si>
  <si>
    <t>Aslam Jiffry</t>
  </si>
  <si>
    <t>javascript,c#,jquery,asp.net-mvc</t>
  </si>
  <si>
    <t>https://stackoverflow.com/questions/5236690/float-from-c-to-c-sharp</t>
  </si>
  <si>
    <t>2011-03-08 18:27:52Z</t>
  </si>
  <si>
    <t>2011-03-09 21:07:47Z</t>
  </si>
  <si>
    <t>Anthony</t>
  </si>
  <si>
    <t>c#,c,pointers,malloc,marshalling</t>
  </si>
  <si>
    <t>https://stackoverflow.com/questions/45108666/sessions-in-angularjs-and-php-application</t>
  </si>
  <si>
    <t>2017-07-14 17:28:07Z</t>
  </si>
  <si>
    <t>2017-07-22 04:52:38Z</t>
  </si>
  <si>
    <t>Sara Tibbetts</t>
  </si>
  <si>
    <t>javascript,php,angularjs,session,php-7</t>
  </si>
  <si>
    <t>https://stackoverflow.com/questions/13654561/marshalling-an-array-of-strings-from-managed-to-native-code</t>
  </si>
  <si>
    <t>2012-11-30 23:14:25Z</t>
  </si>
  <si>
    <t>2012-12-18 14:49:58Z</t>
  </si>
  <si>
    <t>Tejas Sharma</t>
  </si>
  <si>
    <t>c#,c++,.net,interop,marshalling</t>
  </si>
  <si>
    <t>https://stackoverflow.com/questions/6866464/com-safearray-of-guids-returned-from-c-to-c-sharp</t>
  </si>
  <si>
    <t>2011-07-28 22:19:26Z</t>
  </si>
  <si>
    <t>2016-09-02 01:01:06Z</t>
  </si>
  <si>
    <t>Steve</t>
  </si>
  <si>
    <t>c#,c++,com,guid,safearray</t>
  </si>
  <si>
    <t>https://stackoverflow.com/questions/17309745/how-to-join-a-group-using-signalr</t>
  </si>
  <si>
    <t>2013-06-26 00:33:36Z</t>
  </si>
  <si>
    <t>2020-11-23 05:26:35Z</t>
  </si>
  <si>
    <t>user516883</t>
  </si>
  <si>
    <t>c#,javascript,signalr</t>
  </si>
  <si>
    <t>https://stackoverflow.com/questions/11582914/mvc-model-binding-a-string-array-from-jquery-post</t>
  </si>
  <si>
    <t>2012-07-20 15:58:11Z</t>
  </si>
  <si>
    <t>2012-07-23 15:58:18Z</t>
  </si>
  <si>
    <t>Benjamin</t>
  </si>
  <si>
    <t>c#,javascript,jquery,asp.net-mvc,model-binding</t>
  </si>
  <si>
    <t>https://stackoverflow.com/questions/32462222/how-to-catch-assertioncaused-in-c-during-runtime-in-python</t>
  </si>
  <si>
    <t>2015-09-08 15:54:10Z</t>
  </si>
  <si>
    <t>2015-09-08 21:22:01Z</t>
  </si>
  <si>
    <t>python,c++,windows,ctypes,assertions</t>
  </si>
  <si>
    <t>https://stackoverflow.com/questions/30357115/pyarray-simplenewfromdata-example</t>
  </si>
  <si>
    <t>2015-05-20 17:59:57Z</t>
  </si>
  <si>
    <t>2018-10-10 23:40:19Z</t>
  </si>
  <si>
    <t>Sajal Jain</t>
  </si>
  <si>
    <t>python,c++,numpy</t>
  </si>
  <si>
    <t>https://stackoverflow.com/questions/31295122/boost-python-multiple-return-arguments</t>
  </si>
  <si>
    <t>2015-07-08 14:05:36Z</t>
  </si>
  <si>
    <t>2016-06-07 10:27:32Z</t>
  </si>
  <si>
    <t>csnate</t>
  </si>
  <si>
    <t>python,c++,boost</t>
  </si>
  <si>
    <t>https://stackoverflow.com/questions/10314645/jni-multi-threads</t>
  </si>
  <si>
    <t>2012-04-25 11:25:54Z</t>
  </si>
  <si>
    <t>2013-02-01 19:47:42Z</t>
  </si>
  <si>
    <t>bbqchickenrobot</t>
  </si>
  <si>
    <t>java,c++,multithreading,java-native-interface</t>
  </si>
  <si>
    <t>https://stackoverflow.com/questions/10524365/interop-causes-unity-to-crash</t>
  </si>
  <si>
    <t>2012-05-09 21:30:05Z</t>
  </si>
  <si>
    <t>2012-08-08 11:20:20Z</t>
  </si>
  <si>
    <t>Zening Qu</t>
  </si>
  <si>
    <t>c#,c,callback,interop,unity3d</t>
  </si>
  <si>
    <t>https://stackoverflow.com/questions/20419415/c-sharp-call-c-dll-passing-pointer-to-pointer-argument</t>
  </si>
  <si>
    <t>2013-12-06 08:34:44Z</t>
  </si>
  <si>
    <t>2016-08-05 16:31:58Z</t>
  </si>
  <si>
    <t>LennonLam</t>
  </si>
  <si>
    <t>c#,c++,dll</t>
  </si>
  <si>
    <t>https://stackoverflow.com/questions/10596052/stdvector-to-java-util-vector-code-generation-with-swig</t>
  </si>
  <si>
    <t>2012-05-15 07:26:29Z</t>
  </si>
  <si>
    <t>2014-01-14 03:32:27Z</t>
  </si>
  <si>
    <t>java,c++,list,vector,swig</t>
  </si>
  <si>
    <t>https://stackoverflow.com/questions/13419676/assigning-the-model-to-a-javascript-variable-in-razor</t>
  </si>
  <si>
    <t>2012-11-16 15:35:08Z</t>
  </si>
  <si>
    <t>2012-11-16 15:56:25Z</t>
  </si>
  <si>
    <t>Seriphos</t>
  </si>
  <si>
    <t>c#,javascript,jquery,asp.net-mvc,razor</t>
  </si>
  <si>
    <t>https://stackoverflow.com/questions/7309838/improper-marshaling-c-sharp-array-to-a-c-unmanaged-array</t>
  </si>
  <si>
    <t>2011-09-05 15:06:26Z</t>
  </si>
  <si>
    <t>2011-09-05 15:58:39Z</t>
  </si>
  <si>
    <t>Nicholas H Kirk</t>
  </si>
  <si>
    <t>c#,c++,pinvoke,marshalling</t>
  </si>
  <si>
    <t>https://stackoverflow.com/questions/30024948/flask-download-a-csv-file-on-clicking-a-button</t>
  </si>
  <si>
    <t>2015-05-04 07:39:12Z</t>
  </si>
  <si>
    <t>2019-09-09 17:43:44Z</t>
  </si>
  <si>
    <t>Tarun Dugar</t>
  </si>
  <si>
    <t>javascript,python,json,csv,flask</t>
  </si>
  <si>
    <t>https://stackoverflow.com/questions/30191582/how-can-i-change-text-of-legend-in-c3-pie-chart</t>
  </si>
  <si>
    <t>2015-05-12 12:57:04Z</t>
  </si>
  <si>
    <t>2017-10-27 21:01:13Z</t>
  </si>
  <si>
    <t>Sunil Pachlangia</t>
  </si>
  <si>
    <t>javascript,php,charts,c3.js</t>
  </si>
  <si>
    <t>https://stackoverflow.com/questions/19561877/is-it-possible-to-set-localstorage-or-session-variable-in-asp-net-page-and-read</t>
  </si>
  <si>
    <t>2013-10-24 09:20:58Z</t>
  </si>
  <si>
    <t>2021-05-02 09:30:33Z</t>
  </si>
  <si>
    <t>mashet</t>
  </si>
  <si>
    <t>c#,javascript,asp.net,local-storage,session-variables</t>
  </si>
  <si>
    <t>https://stackoverflow.com/questions/18545034/how-do-i-convert-my-entire-div-data-into-image-and-save-it-into-directory-withou</t>
  </si>
  <si>
    <t>2013-08-31 05:59:04Z</t>
  </si>
  <si>
    <t>2018-11-30 14:56:39Z</t>
  </si>
  <si>
    <t>luckyamit</t>
  </si>
  <si>
    <t>https://stackoverflow.com/questions/29987323/how-do-i-send-data-from-js-to-python-with-flask</t>
  </si>
  <si>
    <t>2015-05-01 13:01:46Z</t>
  </si>
  <si>
    <t>2021-08-10 11:32:42Z</t>
  </si>
  <si>
    <t>Sneaky Beaver</t>
  </si>
  <si>
    <t>javascript,jquery,python,flask</t>
  </si>
  <si>
    <t>https://stackoverflow.com/questions/3333182/speeding-up-ajax-requests-can-gzip-compression-be-applied</t>
  </si>
  <si>
    <t>2010-07-26 08:08:49Z</t>
  </si>
  <si>
    <t>2021-01-18 01:53:29Z</t>
  </si>
  <si>
    <t>Ali</t>
  </si>
  <si>
    <t>php,javascript,ajax,json,compression</t>
  </si>
  <si>
    <t>https://stackoverflow.com/questions/3024893/ajax-chat-only-update-if-theres-a-change</t>
  </si>
  <si>
    <t>2010-06-11 17:34:27Z</t>
  </si>
  <si>
    <t>2013-04-22 20:20:41Z</t>
  </si>
  <si>
    <t>Dave</t>
  </si>
  <si>
    <t>php,javascript,ajax,chat</t>
  </si>
  <si>
    <t>https://stackoverflow.com/questions/23366570/store-client-server-string-filtering-directives-for-realtime-use</t>
  </si>
  <si>
    <t>2014-04-29 13:48:15Z</t>
  </si>
  <si>
    <t>2014-05-08 15:39:31Z</t>
  </si>
  <si>
    <t>joakimdahlstrom</t>
  </si>
  <si>
    <t>javascript,php,string</t>
  </si>
  <si>
    <t>https://stackoverflow.com/questions/32551607/c-and-cython-seeking-a-design-pattern-that-avoids-template-limitations</t>
  </si>
  <si>
    <t>2015-09-13 16:00:31Z</t>
  </si>
  <si>
    <t>2015-09-18 15:24:03Z</t>
  </si>
  <si>
    <t>Jake</t>
  </si>
  <si>
    <t>python,c++,templates,design-patterns,cython</t>
  </si>
  <si>
    <t>https://stackoverflow.com/questions/5964269/asn-1-encoding-decoding</t>
  </si>
  <si>
    <t>2011-05-11 12:32:11Z</t>
  </si>
  <si>
    <t>2011-05-12 17:05:07Z</t>
  </si>
  <si>
    <t>pimmling</t>
  </si>
  <si>
    <t>java,c,openssl,asn.1,bc</t>
  </si>
  <si>
    <t>https://stackoverflow.com/questions/39209581/what-is-the-right-way-to-call-dynamic-content-currently-using-ajax-inside-a-ca</t>
  </si>
  <si>
    <t>2016-08-29 15:11:36Z</t>
  </si>
  <si>
    <t>2016-12-16 09:45:22Z</t>
  </si>
  <si>
    <t>Hossj</t>
  </si>
  <si>
    <t>javascript,php,jquery,ajax,cpu</t>
  </si>
  <si>
    <t>https://stackoverflow.com/questions/7700446/java-app-calls-c-dll-via-jni-how-best-to-allocate-memory</t>
  </si>
  <si>
    <t>2011-10-08 23:33:04Z</t>
  </si>
  <si>
    <t>2015-05-21 06:45:47Z</t>
  </si>
  <si>
    <t>JoshDM</t>
  </si>
  <si>
    <t>java,c++,memory,dll,java-native-interface</t>
  </si>
  <si>
    <t>https://stackoverflow.com/questions/6064990/is-mysql-database-access-speed-limited-primarily-by-the-db-or-by-the-language-u</t>
  </si>
  <si>
    <t>2011-05-19 21:17:32Z</t>
  </si>
  <si>
    <t>2011-05-21 08:45:34Z</t>
  </si>
  <si>
    <t>asdfasd</t>
  </si>
  <si>
    <t>php,mysql,c,perl,benchmarking</t>
  </si>
  <si>
    <t>https://stackoverflow.com/questions/30214271/php-js-progress-bar</t>
  </si>
  <si>
    <t>2015-05-13 12:04:34Z</t>
  </si>
  <si>
    <t>2015-05-15 08:48:30Z</t>
  </si>
  <si>
    <t>Kieran</t>
  </si>
  <si>
    <t>javascript,php,jquery,ajax,server-sent-events</t>
  </si>
  <si>
    <t>https://stackoverflow.com/questions/19661580/minify-css-and-js-in-codeigniter-efficiently</t>
  </si>
  <si>
    <t>2013-10-29 14:51:17Z</t>
  </si>
  <si>
    <t>2019-07-24 18:13:20Z</t>
  </si>
  <si>
    <t>Keenan Payne</t>
  </si>
  <si>
    <t>javascript,php,css,codeigniter,minify</t>
  </si>
  <si>
    <t>https://stackoverflow.com/questions/14269798/java-jni-calls-are-slower-than-expected-at-least-2-ms-call</t>
  </si>
  <si>
    <t>2013-01-11 00:32:18Z</t>
  </si>
  <si>
    <t>2013-09-05 09:29:30Z</t>
  </si>
  <si>
    <t>bgroenks</t>
  </si>
  <si>
    <t>java,c,performance,java-native-interface</t>
  </si>
  <si>
    <t>https://stackoverflow.com/questions/2848359/how-to-write-javascript-in-asp-net-in-code-behind-using-c-sharp</t>
  </si>
  <si>
    <t>2010-05-17 10:48:58Z</t>
  </si>
  <si>
    <t>2018-03-28 10:13:33Z</t>
  </si>
  <si>
    <t>Eyla</t>
  </si>
  <si>
    <t>c#,asp.net,javascript</t>
  </si>
  <si>
    <t>https://stackoverflow.com/questions/46888778/autocomplete-textbox-using-php</t>
  </si>
  <si>
    <t>2017-10-23 11:56:58Z</t>
  </si>
  <si>
    <t>2017-10-23 12:16:19Z</t>
  </si>
  <si>
    <t>Aamir Shaikh</t>
  </si>
  <si>
    <t>javascript,php,jquery,ajax,autocomplete</t>
  </si>
  <si>
    <t>https://stackoverflow.com/questions/1917576/how-do-i-pass-javascript-variables-to-php</t>
  </si>
  <si>
    <t>2009-12-16 20:46:04Z</t>
  </si>
  <si>
    <t>2021-08-14 01:57:35Z</t>
  </si>
  <si>
    <t>SUN Jiangong</t>
  </si>
  <si>
    <t>php,javascript,variables</t>
  </si>
  <si>
    <t>https://stackoverflow.com/questions/43827637/how-to-use-ajax-and-json-for-making-dropdown-menu</t>
  </si>
  <si>
    <t>2017-05-07 03:51:25Z</t>
  </si>
  <si>
    <t>2017-05-25 07:24:42Z</t>
  </si>
  <si>
    <t>Kardo</t>
  </si>
  <si>
    <t>javascript,php,jquery,json,ajax</t>
  </si>
  <si>
    <t>https://stackoverflow.com/questions/34383278/calling-javascript-from-java-method</t>
  </si>
  <si>
    <t>2015-12-20 16:42:53Z</t>
  </si>
  <si>
    <t>2016-01-02 18:36:40Z</t>
  </si>
  <si>
    <t>Abhijit Desai</t>
  </si>
  <si>
    <t>javascript,java</t>
  </si>
  <si>
    <t>https://stackoverflow.com/questions/18441194/how-to-call-a-c-sharp-function-from-javascript</t>
  </si>
  <si>
    <t>2013-08-26 09:44:31Z</t>
  </si>
  <si>
    <t>2018-06-25 22:43:46Z</t>
  </si>
  <si>
    <t>IamNumber5</t>
  </si>
  <si>
    <t>javascript,c#,asp.net,code-behind</t>
  </si>
  <si>
    <t>https://stackoverflow.com/questions/54018008/how-to-pass-content-in-tinymces-textarea-to-a-php-file-directly-instead-of-send</t>
  </si>
  <si>
    <t>2019-01-03 07:25:29Z</t>
  </si>
  <si>
    <t>2019-01-12 21:38:14Z</t>
  </si>
  <si>
    <t>showkey</t>
  </si>
  <si>
    <t>javascript,php,html,tinymce</t>
  </si>
  <si>
    <t>https://stackoverflow.com/questions/65189028/how-to-change-server-side-language-cookies-like-client-side-using-ajax</t>
  </si>
  <si>
    <t>2020-12-07 20:39:52Z</t>
  </si>
  <si>
    <t>2020-12-16 23:42:42Z</t>
  </si>
  <si>
    <t>javascript,php,jquery,ajax,cookies</t>
  </si>
  <si>
    <t>https://stackoverflow.com/questions/56385013/how-to-show-entire-text-in-a-modal-on-click-of-ellipsis-in-js</t>
  </si>
  <si>
    <t>2019-05-30 20:12:35Z</t>
  </si>
  <si>
    <t>2019-06-15 07:46:43Z</t>
  </si>
  <si>
    <t>flash</t>
  </si>
  <si>
    <t>javascript,php,html,css,modal-dialog</t>
  </si>
  <si>
    <t>https://stackoverflow.com/questions/22445078/how-to-create-a-stripe-charge-with-a-checkout-token-sent-via-ajax-to-php</t>
  </si>
  <si>
    <t>2014-03-17 00:34:22Z</t>
  </si>
  <si>
    <t>2014-03-17 17:48:17Z</t>
  </si>
  <si>
    <t>jdchizzle</t>
  </si>
  <si>
    <t>javascript,php,jquery,ajax,stripe-payments</t>
  </si>
  <si>
    <t>https://stackoverflow.com/questions/18774269/websocket-failed-downgrading-to-comet-and-resending</t>
  </si>
  <si>
    <t>2013-09-12 21:01:55Z</t>
  </si>
  <si>
    <t>2014-01-21 01:10:54Z</t>
  </si>
  <si>
    <t>Evgeny Tugarev</t>
  </si>
  <si>
    <t>java,javascript,atmosphere</t>
  </si>
  <si>
    <t>https://stackoverflow.com/questions/5310216/passing-php-variable-into-javascript</t>
  </si>
  <si>
    <t>2011-03-15 10:11:40Z</t>
  </si>
  <si>
    <t>2014-05-19 15:26:12Z</t>
  </si>
  <si>
    <t>ptamzz</t>
  </si>
  <si>
    <t>https://stackoverflow.com/questions/1698801/passing-php-array-into-javascript-through-json-to-update-google-chart</t>
  </si>
  <si>
    <t>2009-11-09 02:25:30Z</t>
  </si>
  <si>
    <t>2013-09-12 14:08:44Z</t>
  </si>
  <si>
    <t>brussels0828</t>
  </si>
  <si>
    <t>php,javascript,json</t>
  </si>
  <si>
    <t>https://stackoverflow.com/questions/46805745/laravel-how-to-hide-the-interpolation-code-before-vue-js-loads</t>
  </si>
  <si>
    <t>2017-10-18 08:23:55Z</t>
  </si>
  <si>
    <t>2021-05-10 15:53:40Z</t>
  </si>
  <si>
    <t>Nacim Idjakirene</t>
  </si>
  <si>
    <t>javascript,php,vuejs2</t>
  </si>
  <si>
    <t>https://stackoverflow.com/questions/37570418/reload-captcha-image</t>
  </si>
  <si>
    <t>2016-06-01 13:39:36Z</t>
  </si>
  <si>
    <t>2018-11-30 16:57:57Z</t>
  </si>
  <si>
    <t>Petru Lebada</t>
  </si>
  <si>
    <t>javascript,php,jquery,image</t>
  </si>
  <si>
    <t>https://stackoverflow.com/questions/5592773/where-to-put-javascript-and-how-to-handle-events</t>
  </si>
  <si>
    <t>2011-04-08 08:55:15Z</t>
  </si>
  <si>
    <t>2011-04-19 13:06:14Z</t>
  </si>
  <si>
    <t>Michal Jajcaj</t>
  </si>
  <si>
    <t>php,javascript,frameworks</t>
  </si>
  <si>
    <t>https://stackoverflow.com/questions/33066486/jscroll-js-with-laravel-5-nextselector-not-found-destroying</t>
  </si>
  <si>
    <t>2015-10-11 15:04:50Z</t>
  </si>
  <si>
    <t>2015-10-14 21:46:24Z</t>
  </si>
  <si>
    <t>Halnex</t>
  </si>
  <si>
    <t>javascript,php,jquery,laravel,pagination</t>
  </si>
  <si>
    <t>https://stackoverflow.com/questions/46746561/adding-the-load-more-button-from-my-front-page-to-my-search-page</t>
  </si>
  <si>
    <t>2017-10-14 16:05:27Z</t>
  </si>
  <si>
    <t>2017-10-22 15:41:21Z</t>
  </si>
  <si>
    <t>user6738171</t>
  </si>
  <si>
    <t>javascript,php,wordpress,twitter-bootstrap-3</t>
  </si>
  <si>
    <t>https://stackoverflow.com/questions/42101786/dropzone-js-prevents-flask-from-rendering-template</t>
  </si>
  <si>
    <t>2017-02-07 23:15:50Z</t>
  </si>
  <si>
    <t>2020-05-13 17:22:52Z</t>
  </si>
  <si>
    <t>user2242044</t>
  </si>
  <si>
    <t>javascript,python,python-2.7,flask,dropzone.js</t>
  </si>
  <si>
    <t>https://stackoverflow.com/questions/42139254/how-to-implement-a-stripe-checkout-custom-button</t>
  </si>
  <si>
    <t>2017-02-09 14:26:46Z</t>
  </si>
  <si>
    <t>2017-09-17 21:46:39Z</t>
  </si>
  <si>
    <t>Lisan Mulena</t>
  </si>
  <si>
    <t>javascript,php,stripe-payments</t>
  </si>
  <si>
    <t>https://stackoverflow.com/questions/10212686/social-icons-not-working-with-infinite-scrolling-on-wordpress</t>
  </si>
  <si>
    <t>2012-04-18 15:25:58Z</t>
  </si>
  <si>
    <t>2014-05-22 20:19:25Z</t>
  </si>
  <si>
    <t>Robin Neal</t>
  </si>
  <si>
    <t>php,javascript,facebook,wordpress,google-plus</t>
  </si>
  <si>
    <t>https://stackoverflow.com/questions/6649125/calling-java-methods-in-javascript-code</t>
  </si>
  <si>
    <t>2011-07-11 11:03:46Z</t>
  </si>
  <si>
    <t>2018-02-21 08:41:32Z</t>
  </si>
  <si>
    <t>Nadya Nux</t>
  </si>
  <si>
    <t>java,javascript</t>
  </si>
  <si>
    <t>https://stackoverflow.com/questions/52367826/custom-plus-and-minus-quantity-buttons-in-woocommerce-3</t>
  </si>
  <si>
    <t>2018-09-17 12:32:12Z</t>
  </si>
  <si>
    <t>2020-10-26 10:29:40Z</t>
  </si>
  <si>
    <t>Kai</t>
  </si>
  <si>
    <t>javascript,php,jquery,woocommerce,product-quantity</t>
  </si>
  <si>
    <t>https://stackoverflow.com/questions/24450304/load-data-on-scroll-up-like-facebook-chatting-system</t>
  </si>
  <si>
    <t>2014-06-27 11:06:39Z</t>
  </si>
  <si>
    <t>2014-09-18 12:10:58Z</t>
  </si>
  <si>
    <t>kamaljit</t>
  </si>
  <si>
    <t>https://stackoverflow.com/questions/39774300/jquery-datatables-asp-net-issue</t>
  </si>
  <si>
    <t>2016-09-29 15:23:58Z</t>
  </si>
  <si>
    <t>2016-10-04 19:38:08Z</t>
  </si>
  <si>
    <t>TrevorGoodchild</t>
  </si>
  <si>
    <t>javascript,c#,jquery,asp.net</t>
  </si>
  <si>
    <t>https://stackoverflow.com/questions/13209386/i-cannot-see-html5-eventsource-event-with-onmessage-method-in-chrome</t>
  </si>
  <si>
    <t>2012-11-03 12:53:39Z</t>
  </si>
  <si>
    <t>2021-04-18 14:43:08Z</t>
  </si>
  <si>
    <t>mika34</t>
  </si>
  <si>
    <t>php,javascript,html</t>
  </si>
  <si>
    <t>https://stackoverflow.com/questions/20111929/asp-net-button-on-click-not-firing-using-jquery-modal-dialog</t>
  </si>
  <si>
    <t>2013-11-21 03:33:50Z</t>
  </si>
  <si>
    <t>2016-09-13 09:54:32Z</t>
  </si>
  <si>
    <t>Albert Laure</t>
  </si>
  <si>
    <t>c#,javascript,jquery,html,asp.net</t>
  </si>
  <si>
    <t>https://stackoverflow.com/questions/34362470/load-modal-after-form-submit</t>
  </si>
  <si>
    <t>2015-12-18 19:14:35Z</t>
  </si>
  <si>
    <t>2020-03-31 09:06:33Z</t>
  </si>
  <si>
    <t>ladanta</t>
  </si>
  <si>
    <t>javascript,php,jquery,twitter-bootstrap</t>
  </si>
  <si>
    <t>https://stackoverflow.com/questions/37228791/custom-button-next-to-add-to-cart-button-of-woocommerce-based-on-product-type</t>
  </si>
  <si>
    <t>2016-05-14 15:55:46Z</t>
  </si>
  <si>
    <t>2019-12-30 07:22:53Z</t>
  </si>
  <si>
    <t>Firman</t>
  </si>
  <si>
    <t>javascript,php,jquery,wordpress,woocommerce</t>
  </si>
  <si>
    <t>https://stackoverflow.com/questions/9303534/is-it-possible-to-use-jquery-inside-of-vaadin-framework</t>
  </si>
  <si>
    <t>2012-02-15 23:57:25Z</t>
  </si>
  <si>
    <t>2016-03-20 15:31:57Z</t>
  </si>
  <si>
    <t>Kyleinincubator</t>
  </si>
  <si>
    <t>java,javascript,jquery,vaadin</t>
  </si>
  <si>
    <t>https://stackoverflow.com/questions/9813774/youtube-iframe-api-seekto-not-a-method</t>
  </si>
  <si>
    <t>2012-03-21 22:25:59Z</t>
  </si>
  <si>
    <t>2014-04-17 00:26:46Z</t>
  </si>
  <si>
    <t>Chris Voth</t>
  </si>
  <si>
    <t>php,javascript,youtube,youtube-api</t>
  </si>
  <si>
    <t>https://stackoverflow.com/questions/7699172/check-uncheck-all-checkboxes-with-javascript-in-a-php-array-with-keys</t>
  </si>
  <si>
    <t>2011-10-08 19:14:58Z</t>
  </si>
  <si>
    <t>2013-04-11 13:52:26Z</t>
  </si>
  <si>
    <t>David Adders</t>
  </si>
  <si>
    <t>php,javascript,arrays,checkbox,key</t>
  </si>
  <si>
    <t>https://stackoverflow.com/questions/21835623/jquery-img-src-replace-not-working</t>
  </si>
  <si>
    <t>2014-02-17 17:32:48Z</t>
  </si>
  <si>
    <t>2014-02-17 18:11:26Z</t>
  </si>
  <si>
    <t>noobWebDev</t>
  </si>
  <si>
    <t>javascript,php,jquery,html,css</t>
  </si>
  <si>
    <t>https://stackoverflow.com/questions/13454985/asp-net-set-hiddenfield-a-value-in-javascript</t>
  </si>
  <si>
    <t>2012-11-19 13:39:11Z</t>
  </si>
  <si>
    <t>2017-09-14 12:39:34Z</t>
  </si>
  <si>
    <t>ozkank</t>
  </si>
  <si>
    <t>c#,javascript,asp.net</t>
  </si>
  <si>
    <t>https://stackoverflow.com/questions/4107728/does-https-connection-disabled-jquery</t>
  </si>
  <si>
    <t>2010-11-05 16:07:22Z</t>
  </si>
  <si>
    <t>2010-11-05 16:41:32Z</t>
  </si>
  <si>
    <t>JM4</t>
  </si>
  <si>
    <t>php,javascript,jquery,https</t>
  </si>
  <si>
    <t>https://stackoverflow.com/questions/531311/how-can-i-generate-dynamic-javascript</t>
  </si>
  <si>
    <t>2009-02-10 07:02:57Z</t>
  </si>
  <si>
    <t>2020-09-24 22:30:35Z</t>
  </si>
  <si>
    <t>Eastern Monk</t>
  </si>
  <si>
    <t>php,javascript,yui</t>
  </si>
  <si>
    <t>https://stackoverflow.com/questions/37772225/change-the-xlinkhref-of-an-image-in-a-svg-through-a-classic-a-link</t>
  </si>
  <si>
    <t>2016-06-12 08:35:00Z</t>
  </si>
  <si>
    <t>2021-02-25 20:52:27Z</t>
  </si>
  <si>
    <t>jrm</t>
  </si>
  <si>
    <t>javascript,php,jquery,dom,svg</t>
  </si>
  <si>
    <t>https://stackoverflow.com/questions/835259/show-hide-fields-depending-on-select-value</t>
  </si>
  <si>
    <t>2009-05-07 15:12:06Z</t>
  </si>
  <si>
    <t>2019-06-20 15:22:59Z</t>
  </si>
  <si>
    <t>Udders</t>
  </si>
  <si>
    <t>https://stackoverflow.com/questions/39686611/column-sum-of-multiple-columns-of-dynamic-gridview-using-javascript</t>
  </si>
  <si>
    <t>2016-09-25 12:06:54Z</t>
  </si>
  <si>
    <t>2017-01-19 20:03:24Z</t>
  </si>
  <si>
    <t>Sreenath Ganga</t>
  </si>
  <si>
    <t>javascript,c#,asp.net,gridview</t>
  </si>
  <si>
    <t>https://stackoverflow.com/questions/30449098/how-to-customize-default-data-confirm-dialog-box-in-yii2-gridview</t>
  </si>
  <si>
    <t>2015-05-26 03:45:19Z</t>
  </si>
  <si>
    <t>2018-08-16 14:51:07Z</t>
  </si>
  <si>
    <t>J.K.A.</t>
  </si>
  <si>
    <t>javascript,php,jquery,jquery-ui,yii</t>
  </si>
  <si>
    <t>https://stackoverflow.com/questions/18512184/google-maps-finding-all-the-markers-inside-a-given-radius-javascript-php</t>
  </si>
  <si>
    <t>2013-08-29 13:20:12Z</t>
  </si>
  <si>
    <t>2018-07-30 13:26:08Z</t>
  </si>
  <si>
    <t>compcobalt</t>
  </si>
  <si>
    <t>php,javascript,ajax,google-maps</t>
  </si>
  <si>
    <t>https://stackoverflow.com/questions/15006048/dynamically-rethrowing-self-defined-c-exceptions-as-python-exceptions-using-sw</t>
  </si>
  <si>
    <t>2013-02-21 15:30:35Z</t>
  </si>
  <si>
    <t>2013-04-03 01:42:44Z</t>
  </si>
  <si>
    <t>tbacker</t>
  </si>
  <si>
    <t>c++,python,exception,reflection,swig</t>
  </si>
  <si>
    <t>https://stackoverflow.com/questions/5449067/gwt-2-x-entry-function</t>
  </si>
  <si>
    <t>2011-03-27 12:00:26Z</t>
  </si>
  <si>
    <t>2017-09-03 23:53:00Z</t>
  </si>
  <si>
    <t>nordlig.ulv</t>
  </si>
  <si>
    <t>javascript,java,gwt,jsni</t>
  </si>
  <si>
    <t>https://stackoverflow.com/questions/8450481/method-without-return-value-in-python-c-extension-module</t>
  </si>
  <si>
    <t>2011-12-09 19:11:18Z</t>
  </si>
  <si>
    <t>2012-08-19 22:16:21Z</t>
  </si>
  <si>
    <t>markmb</t>
  </si>
  <si>
    <t>python,c,python-c-api,parallel-port,python-extensions</t>
  </si>
  <si>
    <t>https://stackoverflow.com/questions/43161227/no-response-when-validationexception-is-thrown-using-plupload-and-symfony3</t>
  </si>
  <si>
    <t>2017-04-01 19:42:21Z</t>
  </si>
  <si>
    <t>2017-04-18 20:24:11Z</t>
  </si>
  <si>
    <t>Rikijs</t>
  </si>
  <si>
    <t>javascript,php,symfony,file-upload,plupload</t>
  </si>
  <si>
    <t>https://stackoverflow.com/questions/29352485/python-print-not-working-when-embedded-into-mpi-program</t>
  </si>
  <si>
    <t>2015-03-30 17:27:37Z</t>
  </si>
  <si>
    <t>2019-11-17 10:05:23Z</t>
  </si>
  <si>
    <t>sunmat</t>
  </si>
  <si>
    <t>python,c++,mpi</t>
  </si>
  <si>
    <t>https://stackoverflow.com/questions/39127512/java-uncaughtexceptionhandler-havent-got-any-exception-using-jni</t>
  </si>
  <si>
    <t>2016-08-24 15:33:42Z</t>
  </si>
  <si>
    <t>2016-08-24 17:31:10Z</t>
  </si>
  <si>
    <t>user788767</t>
  </si>
  <si>
    <t>java,c++,multithreading,java-native-interface,uncaughtexceptionhandler</t>
  </si>
  <si>
    <t>https://stackoverflow.com/questions/30308490/jni-wrapper-for-c-function-using-swig-what-should-be-the-typemap</t>
  </si>
  <si>
    <t>2015-05-18 16:32:24Z</t>
  </si>
  <si>
    <t>2015-05-20 20:53:37Z</t>
  </si>
  <si>
    <t>jojek</t>
  </si>
  <si>
    <t>java,c,java-native-interface,swig</t>
  </si>
  <si>
    <t>https://stackoverflow.com/questions/56787106/does-managed-languages-lock-flush-and-reload-variables-of-native-libraries</t>
  </si>
  <si>
    <t>2019-06-27 08:36:33Z</t>
  </si>
  <si>
    <t>2019-07-09 01:12:00Z</t>
  </si>
  <si>
    <t>Jenix</t>
  </si>
  <si>
    <t>java,c#,c++,c,locking</t>
  </si>
  <si>
    <t>https://stackoverflow.com/questions/24277488/in-python-how-to-capture-the-stdout-from-a-c-shared-library-to-a-variable</t>
  </si>
  <si>
    <t>2014-06-18 05:12:49Z</t>
  </si>
  <si>
    <t>2021-06-02 09:15:55Z</t>
  </si>
  <si>
    <t>UserCool</t>
  </si>
  <si>
    <t>python,c++</t>
  </si>
  <si>
    <t>https://stackoverflow.com/questions/1711490/returning-a-c-class-to-java-via-jni</t>
  </si>
  <si>
    <t>2009-11-10 21:51:32Z</t>
  </si>
  <si>
    <t>2011-12-04 03:13:21Z</t>
  </si>
  <si>
    <t>tomzx</t>
  </si>
  <si>
    <t>java,c++,class,struct,java-native-interface</t>
  </si>
  <si>
    <t>https://stackoverflow.com/questions/24492327/python-embedding-in-c-importerror-no-module-named-pyfunction</t>
  </si>
  <si>
    <t>2014-06-30 14:21:59Z</t>
  </si>
  <si>
    <t>2020-10-04 14:56:34Z</t>
  </si>
  <si>
    <t>user3000805</t>
  </si>
  <si>
    <t>https://stackoverflow.com/questions/41020068/running-python-script-in-laravel</t>
  </si>
  <si>
    <t>2016-12-07 14:31:01Z</t>
  </si>
  <si>
    <t>2021-07-23 07:53:29Z</t>
  </si>
  <si>
    <t>Carriane Lastimoso</t>
  </si>
  <si>
    <t>php,python,exec,shell-exec,orb</t>
  </si>
  <si>
    <t>https://stackoverflow.com/questions/11123899/passing-a-c-sharp-class-object-in-and-out-of-a-c-dll-class</t>
  </si>
  <si>
    <t>2012-06-20 16:23:40Z</t>
  </si>
  <si>
    <t>2012-07-10 13:20:09Z</t>
  </si>
  <si>
    <t>Bryan A</t>
  </si>
  <si>
    <t>c#,c++,pinvoke,marshalling,dllimport</t>
  </si>
  <si>
    <t>https://stackoverflow.com/questions/25530727/c-python-api-second-call-of-pyimport-import-results-in-sigsegv</t>
  </si>
  <si>
    <t>2014-08-27 15:07:23Z</t>
  </si>
  <si>
    <t>2020-09-10 19:35:15Z</t>
  </si>
  <si>
    <t>Arnox</t>
  </si>
  <si>
    <t>python,c++,numpy,segmentation-fault</t>
  </si>
  <si>
    <t>https://stackoverflow.com/questions/16200997/why-doesnt-include-python-h-work</t>
  </si>
  <si>
    <t>2013-04-24 19:56:01Z</t>
  </si>
  <si>
    <t>2019-07-02 06:40:33Z</t>
  </si>
  <si>
    <t>Curious</t>
  </si>
  <si>
    <t>c++,python,visual-studio-2010,wrapper</t>
  </si>
  <si>
    <t>https://stackoverflow.com/questions/57990269/passing-pointer-to-c-from-python-using-pybind11</t>
  </si>
  <si>
    <t>2019-09-18 10:09:18Z</t>
  </si>
  <si>
    <t>2019-09-19 07:20:54Z</t>
  </si>
  <si>
    <t>Frank</t>
  </si>
  <si>
    <t>https://stackoverflow.com/questions/29595222/multithreading-with-python-and-c-api</t>
  </si>
  <si>
    <t>2015-04-12 22:10:08Z</t>
  </si>
  <si>
    <t>2015-12-09 23:08:32Z</t>
  </si>
  <si>
    <t>Matteo Monti</t>
  </si>
  <si>
    <t>python,c++,multithreading,python-c-api</t>
  </si>
  <si>
    <t>https://stackoverflow.com/questions/14762048/subprocess-call-in-python-to-invoke-java-jar-files-with-java-opts</t>
  </si>
  <si>
    <t>2013-02-07 22:14:39Z</t>
  </si>
  <si>
    <t>2013-02-08 00:31:52Z</t>
  </si>
  <si>
    <t>user1164061</t>
  </si>
  <si>
    <t>java,python</t>
  </si>
  <si>
    <t>https://stackoverflow.com/questions/1014584/force-java-to-call-my-c-destructor-jni</t>
  </si>
  <si>
    <t>2009-06-18 19:02:14Z</t>
  </si>
  <si>
    <t>2009-06-19 13:15:00Z</t>
  </si>
  <si>
    <t>Marc Bernier</t>
  </si>
  <si>
    <t>https://stackoverflow.com/questions/31436593/cython-templates-in-python-class-wrappers</t>
  </si>
  <si>
    <t>2015-07-15 16:59:51Z</t>
  </si>
  <si>
    <t>2015-07-16 14:33:24Z</t>
  </si>
  <si>
    <t>piotrMocz</t>
  </si>
  <si>
    <t>python,c++,templates,cython</t>
  </si>
  <si>
    <t>https://stackoverflow.com/questions/14482064/how-to-pass-variables-back-from-php-by-ajax</t>
  </si>
  <si>
    <t>2013-01-23 14:28:31Z</t>
  </si>
  <si>
    <t>2013-01-23 15:18:46Z</t>
  </si>
  <si>
    <t>Jakub Zak</t>
  </si>
  <si>
    <t>php,javascript,jquery,ajax,json</t>
  </si>
  <si>
    <t>https://stackoverflow.com/questions/15801782/how-to-correctly-pass-a-json-object-to-flask-server-using-jquery-ajax</t>
  </si>
  <si>
    <t>2013-04-04 02:58:03Z</t>
  </si>
  <si>
    <t>2013-04-04 15:28:40Z</t>
  </si>
  <si>
    <t>SeanPlusPlus</t>
  </si>
  <si>
    <t>javascript,python,ajax,json,flask</t>
  </si>
  <si>
    <t>https://stackoverflow.com/questions/18115260/gwt-custom-event-trigger-in-javascript</t>
  </si>
  <si>
    <t>2013-08-07 23:06:11Z</t>
  </si>
  <si>
    <t>2013-08-08 23:57:35Z</t>
  </si>
  <si>
    <t>elemjay19</t>
  </si>
  <si>
    <t>java,javascript,events,gwt,backbone.js</t>
  </si>
  <si>
    <t>https://stackoverflow.com/questions/37474832/how-to-train-a-model-in-c-with-tensorflow</t>
  </si>
  <si>
    <t>2016-05-27 04:25:05Z</t>
  </si>
  <si>
    <t>2016-05-28 11:28:25Z</t>
  </si>
  <si>
    <t>darren1231</t>
  </si>
  <si>
    <t>python,c++,tensorflow</t>
  </si>
  <si>
    <t>https://stackoverflow.com/questions/7276389/confused-over-dll-entry-points-entry-point-not-found-exception</t>
  </si>
  <si>
    <t>2011-09-01 20:52:30Z</t>
  </si>
  <si>
    <t>2014-05-27 10:02:59Z</t>
  </si>
  <si>
    <t>GregD</t>
  </si>
  <si>
    <t>c#,c++,visual-studio-2010,dll</t>
  </si>
  <si>
    <t>https://stackoverflow.com/questions/43633044/generate-android-apk-using-shell-script-from-php</t>
  </si>
  <si>
    <t>2017-04-26 11:34:46Z</t>
  </si>
  <si>
    <t>2017-05-09 08:42:02Z</t>
  </si>
  <si>
    <t>Keerthivasan</t>
  </si>
  <si>
    <t>php,android,linux,bash,shell</t>
  </si>
  <si>
    <t>https://stackoverflow.com/questions/21227506/how-to-call-a-javascript-function-before-and-after-button-click-event-call-in-as</t>
  </si>
  <si>
    <t>2014-01-20 06:25:48Z</t>
  </si>
  <si>
    <t>2016-03-14 18:04:14Z</t>
  </si>
  <si>
    <t>sohaib</t>
  </si>
  <si>
    <t>c#,javascript,jquery,asp.net</t>
  </si>
  <si>
    <t>https://stackoverflow.com/questions/16908820/what-is-the-init-function-of-a-dynamic-module-in-python</t>
  </si>
  <si>
    <t>2013-06-04 02:18:05Z</t>
  </si>
  <si>
    <t>2013-06-04 02:32:54Z</t>
  </si>
  <si>
    <t>Lucas Radaelli</t>
  </si>
  <si>
    <t>python,c,dll,ctype</t>
  </si>
  <si>
    <t>https://stackoverflow.com/questions/7289897/boost-serialization-and-boost-python-two-way-pickle</t>
  </si>
  <si>
    <t>2011-09-02 22:43:46Z</t>
  </si>
  <si>
    <t>2020-04-09 13:41:18Z</t>
  </si>
  <si>
    <t>foxcub</t>
  </si>
  <si>
    <t>c++,python,boost,pickle,boost-serialization</t>
  </si>
  <si>
    <t>https://stackoverflow.com/questions/19243020/in-python-get-the-output-of-system-command-as-a-string</t>
  </si>
  <si>
    <t>2013-10-08 08:44:23Z</t>
  </si>
  <si>
    <t>2013-10-08 08:58:14Z</t>
  </si>
  <si>
    <t>S4M</t>
  </si>
  <si>
    <t>python,shell,command-line</t>
  </si>
  <si>
    <t>https://stackoverflow.com/questions/21877127/calling-system-loadlibrary-twice-for-the-same-shared-library</t>
  </si>
  <si>
    <t>2014-02-19 10:05:24Z</t>
  </si>
  <si>
    <t>2015-04-24 16:45:01Z</t>
  </si>
  <si>
    <t>Tomasz Gawel</t>
  </si>
  <si>
    <t>java,android,c++,java-native-interface</t>
  </si>
  <si>
    <t>https://stackoverflow.com/questions/3476762/java-hangs-even-though-scripts-execution-is-completed</t>
  </si>
  <si>
    <t>2010-08-13 12:28:34Z</t>
  </si>
  <si>
    <t>2010-08-16 01:05:44Z</t>
  </si>
  <si>
    <t>pavanlimo</t>
  </si>
  <si>
    <t>java,shell,process,pid</t>
  </si>
  <si>
    <t>https://stackoverflow.com/questions/3712125/how-does-boost-python-work</t>
  </si>
  <si>
    <t>2010-09-14 19:16:18Z</t>
  </si>
  <si>
    <t>2013-07-03 18:30:09Z</t>
  </si>
  <si>
    <t>Wiglof</t>
  </si>
  <si>
    <t>https://stackoverflow.com/questions/8358375/how-to-return-int-array-from-java-to-jni</t>
  </si>
  <si>
    <t>2011-12-02 15:10:53Z</t>
  </si>
  <si>
    <t>2011-12-02 18:10:35Z</t>
  </si>
  <si>
    <t>Marcin Bak</t>
  </si>
  <si>
    <t>java,android,c,java-native-interface</t>
  </si>
  <si>
    <t>https://stackoverflow.com/questions/33276487/passing-javascript-array-from-view-to-laravel-controller</t>
  </si>
  <si>
    <t>2015-10-22 08:26:39Z</t>
  </si>
  <si>
    <t>2016-11-15 13:42:51Z</t>
  </si>
  <si>
    <t>Sajan Silwal</t>
  </si>
  <si>
    <t>javascript,php,ajax,model-view-controller,laravel-5</t>
  </si>
  <si>
    <t>https://stackoverflow.com/questions/6444131/using-a-python-script-in-java-eclipse</t>
  </si>
  <si>
    <t>2011-06-22 17:37:46Z</t>
  </si>
  <si>
    <t>2011-06-23 15:35:04Z</t>
  </si>
  <si>
    <t>This 0ne Pr0grammer</t>
  </si>
  <si>
    <t>java,python,eclipse,jython,interpreter</t>
  </si>
  <si>
    <t>https://stackoverflow.com/questions/8089351/exec-any-command-in-c</t>
  </si>
  <si>
    <t>2011-11-11 03:32:09Z</t>
  </si>
  <si>
    <t>2011-11-12 09:12:55Z</t>
  </si>
  <si>
    <t>JJ Liu</t>
  </si>
  <si>
    <t>c,linux,shell,execvp</t>
  </si>
  <si>
    <t>https://stackoverflow.com/questions/20318158/run-python-script-directly-from-command-line</t>
  </si>
  <si>
    <t>2013-12-01 22:36:59Z</t>
  </si>
  <si>
    <t>2018-12-17 14:24:34Z</t>
  </si>
  <si>
    <t>confused</t>
  </si>
  <si>
    <t>python,bash,shell,shebang,env</t>
  </si>
  <si>
    <t>https://stackoverflow.com/questions/38378901/jni-thread-model</t>
  </si>
  <si>
    <t>2016-07-14 15:57:02Z</t>
  </si>
  <si>
    <t>2016-07-17 17:14:53Z</t>
  </si>
  <si>
    <t>Hossein</t>
  </si>
  <si>
    <t>java,c++,multithreading,java-native-interface,jnienv</t>
  </si>
  <si>
    <t>https://stackoverflow.com/questions/30263293/youtube-subscriptions-list-api-v3-nextpagetoken-isnt-available</t>
  </si>
  <si>
    <t>2015-05-15 15:27:08Z</t>
  </si>
  <si>
    <t>2015-05-21 17:15:21Z</t>
  </si>
  <si>
    <t>Fleckchen</t>
  </si>
  <si>
    <t>java,javascript,api,youtube,subscriptions</t>
  </si>
  <si>
    <t>https://stackoverflow.com/questions/15240472/confirm-box-in-codeigniter-anchor-link-to-delete-record</t>
  </si>
  <si>
    <t>2013-03-06 06:27:59Z</t>
  </si>
  <si>
    <t>2020-08-11 06:28:07Z</t>
  </si>
  <si>
    <t>Kango</t>
  </si>
  <si>
    <t>php,javascript,codeigniter</t>
  </si>
  <si>
    <t>https://stackoverflow.com/questions/2842079/how-can-i-pass-a-javascript-function-to-a-java-method-to-act-as-a-callback-rhin</t>
  </si>
  <si>
    <t>2010-05-15 23:24:43Z</t>
  </si>
  <si>
    <t>2013-09-10 12:54:31Z</t>
  </si>
  <si>
    <t>sproketboy</t>
  </si>
  <si>
    <t>java,javascript,rhino</t>
  </si>
  <si>
    <t>https://stackoverflow.com/questions/30984078/cython-working-with-c-streams</t>
  </si>
  <si>
    <t>2015-06-22 15:34:08Z</t>
  </si>
  <si>
    <t>2017-05-10 06:15:06Z</t>
  </si>
  <si>
    <t>python,c++,io,stream,cython</t>
  </si>
  <si>
    <t>https://stackoverflow.com/questions/18878179/how-to-avoid-memory-leak-with-shared-ptr-and-swig</t>
  </si>
  <si>
    <t>2013-09-18 17:03:28Z</t>
  </si>
  <si>
    <t>2015-03-29 15:09:23Z</t>
  </si>
  <si>
    <t>c++,python,file-io,memory-leaks,swig</t>
  </si>
  <si>
    <t>https://stackoverflow.com/questions/29699543/how-to-get-swig-to-apply-templates-when-wrapping-a-template-class-containing-vec</t>
  </si>
  <si>
    <t>2015-04-17 12:41:46Z</t>
  </si>
  <si>
    <t>2016-02-10 21:48:15Z</t>
  </si>
  <si>
    <t>SWilliams</t>
  </si>
  <si>
    <t>c#,c++,templates,vector,swig</t>
  </si>
  <si>
    <t>https://stackoverflow.com/questions/8884480/starting-and-killing-java-app-with-shell-script-debian</t>
  </si>
  <si>
    <t>2012-01-16 18:21:08Z</t>
  </si>
  <si>
    <t>2012-01-18 12:45:00Z</t>
  </si>
  <si>
    <t>rMaero</t>
  </si>
  <si>
    <t>java,linux,shell,debian</t>
  </si>
  <si>
    <t>https://stackoverflow.com/questions/1161142/not-receiving-callbacks-from-the-java-access-bridge</t>
  </si>
  <si>
    <t>2009-07-21 19:11:41Z</t>
  </si>
  <si>
    <t>2017-10-17 18:27:26Z</t>
  </si>
  <si>
    <t>James</t>
  </si>
  <si>
    <t>java,c++,accessibility,java-access-bridge</t>
  </si>
  <si>
    <t>https://stackoverflow.com/questions/7033953/python-cgi-program-wants-to-know-the-ip-address-of-the-calling-web-page</t>
  </si>
  <si>
    <t>2011-08-11 23:01:28Z</t>
  </si>
  <si>
    <t>2021-02-18 20:14:08Z</t>
  </si>
  <si>
    <t>Ray Goudie</t>
  </si>
  <si>
    <t>php,python,header,cgi</t>
  </si>
  <si>
    <t>https://stackoverflow.com/questions/29517675/how-to-get-asynchronous-javascript-responses-from-selenium-webdriver</t>
  </si>
  <si>
    <t>2015-04-08 14:33:29Z</t>
  </si>
  <si>
    <t>2020-07-31 14:14:18Z</t>
  </si>
  <si>
    <t>user3249517</t>
  </si>
  <si>
    <t>javascript,python,selenium,asynchronous,webdriver</t>
  </si>
  <si>
    <t>https://stackoverflow.com/questions/13322119/how-to-make-script-in-linux-use-my-interpteter-and-work</t>
  </si>
  <si>
    <t>2012-11-10 12:36:40Z</t>
  </si>
  <si>
    <t>2012-11-10 13:26:37Z</t>
  </si>
  <si>
    <t>Patryk</t>
  </si>
  <si>
    <t>c,linux,shell</t>
  </si>
  <si>
    <t>https://stackoverflow.com/questions/3397513/how-do-i-access-return-value-of-a-java-method-returning-java-lang-string-from-c</t>
  </si>
  <si>
    <t>2010-08-03 14:30:16Z</t>
  </si>
  <si>
    <t>2020-03-15 04:09:39Z</t>
  </si>
  <si>
    <t>Juan Macek</t>
  </si>
  <si>
    <t>https://stackoverflow.com/questions/46750777/passing-a-javascript-array-of-strings-to-a-c-function-with-emscripten</t>
  </si>
  <si>
    <t>2017-10-15 01:08:10Z</t>
  </si>
  <si>
    <t>Brannon</t>
  </si>
  <si>
    <t>javascript,c,emscripten,webassembly</t>
  </si>
  <si>
    <t>https://stackoverflow.com/questions/37206310/how-to-return-the-multiple-lists-from-controller-action-to-ajax-success-call-bac</t>
  </si>
  <si>
    <t>2016-05-13 09:30:22Z</t>
  </si>
  <si>
    <t>2016-07-15 14:15:44Z</t>
  </si>
  <si>
    <t>rakshithrai</t>
  </si>
  <si>
    <t>javascript,c#,ajax,asp.net-mvc-4</t>
  </si>
  <si>
    <t>https://stackoverflow.com/questions/45387728/calling-a-c-style-function-pointer-in-a-webassembly-from-javascript</t>
  </si>
  <si>
    <t>2017-07-29 09:37:49Z</t>
  </si>
  <si>
    <t>2018-05-09 02:59:07Z</t>
  </si>
  <si>
    <t>Casper Beyer</t>
  </si>
  <si>
    <t>javascript,c,webassembly</t>
  </si>
  <si>
    <t>https://stackoverflow.com/questions/5828803/how-to-call-code-behind-server-method-from-a-client-side-javascript-function</t>
  </si>
  <si>
    <t>2011-04-29 06:42:09Z</t>
  </si>
  <si>
    <t>2017-07-23 15:16:42Z</t>
  </si>
  <si>
    <t>A. Sam John Christopher</t>
  </si>
  <si>
    <t>c#,javascript,.net,asp.net</t>
  </si>
  <si>
    <t>https://stackoverflow.com/questions/22062824/how-do-i-map-a-function-call-from-c-to-java-using-javacpp</t>
  </si>
  <si>
    <t>2014-02-27 08:23:02Z</t>
  </si>
  <si>
    <t>2014-02-27 09:10:25Z</t>
  </si>
  <si>
    <t>hammer</t>
  </si>
  <si>
    <t>java,c++,javacpp</t>
  </si>
  <si>
    <t>https://stackoverflow.com/questions/2011311/running-java-with-java-opts-env-variable-has-no-effect</t>
  </si>
  <si>
    <t>2010-01-06 06:34:12Z</t>
  </si>
  <si>
    <t>2019-06-06 15:28:08Z</t>
  </si>
  <si>
    <t>Ashika Umanga Umagiliya</t>
  </si>
  <si>
    <t>java,shell,remote-debugging,jvm-arguments</t>
  </si>
  <si>
    <t>https://stackoverflow.com/questions/16660049/extracting-arguments-from-kwargs-in-boostpython</t>
  </si>
  <si>
    <t>2013-05-20 23:52:55Z</t>
  </si>
  <si>
    <t>2014-10-19 01:51:56Z</t>
  </si>
  <si>
    <t>orentago</t>
  </si>
  <si>
    <t>c++,python,boost-python,keyword-argument</t>
  </si>
  <si>
    <t>https://stackoverflow.com/questions/41875585/extending-and-embedding-python-in-c-is-pyimport-addmodule-required-to-import</t>
  </si>
  <si>
    <t>2017-01-26 14:21:46Z</t>
  </si>
  <si>
    <t>2017-01-28 15:12:14Z</t>
  </si>
  <si>
    <t>naybot</t>
  </si>
  <si>
    <t>python,c++,python-c-api,python-embedding</t>
  </si>
  <si>
    <t>https://stackoverflow.com/questions/15300470/jquery-ajax-form-using-mail-php-script-sends-email-but-post-data-from-html-fo</t>
  </si>
  <si>
    <t>2013-03-08 18:07:13Z</t>
  </si>
  <si>
    <t>2017-08-20 11:02:00Z</t>
  </si>
  <si>
    <t>Jason Sears</t>
  </si>
  <si>
    <t>php,javascript,jquery,ajax,html</t>
  </si>
  <si>
    <t>https://stackoverflow.com/questions/15923595/how-to-use-a-c-dll-in-unity3d</t>
  </si>
  <si>
    <t>2013-04-10 10:42:31Z</t>
  </si>
  <si>
    <t>2020-05-06 21:24:36Z</t>
  </si>
  <si>
    <t>Lee White</t>
  </si>
  <si>
    <t>c#,c++,dll,unity3d</t>
  </si>
  <si>
    <t>https://stackoverflow.com/questions/21581560/php-how-to-know-if-server-allows-shell-exec</t>
  </si>
  <si>
    <t>2014-02-05 15:36:00Z</t>
  </si>
  <si>
    <t>2014-02-05 15:50:31Z</t>
  </si>
  <si>
    <t>arxoft</t>
  </si>
  <si>
    <t>https://stackoverflow.com/questions/24719592/sending-data-as-json-object-from-python-to-javascript-with-jinja</t>
  </si>
  <si>
    <t>2014-07-13 04:40:01Z</t>
  </si>
  <si>
    <t>2016-10-30 21:57:48Z</t>
  </si>
  <si>
    <t>tesslins</t>
  </si>
  <si>
    <t>javascript,python,json,python-2.7,jinja2</t>
  </si>
  <si>
    <t>https://stackoverflow.com/questions/10256315/python-c-extensions-why-must-callable-c-functions-take-arguments-and-return-py</t>
  </si>
  <si>
    <t>2012-04-21 04:50:14Z</t>
  </si>
  <si>
    <t>2012-04-21 11:07:08Z</t>
  </si>
  <si>
    <t>user1245262</t>
  </si>
  <si>
    <t>python,c,python-c-extension</t>
  </si>
  <si>
    <t>https://stackoverflow.com/questions/3078680/adding-printf-to-the-starting-of-all-functions-in-a-file</t>
  </si>
  <si>
    <t>2010-06-20 08:47:06Z</t>
  </si>
  <si>
    <t>2010-06-20 10:01:19Z</t>
  </si>
  <si>
    <t>g__k</t>
  </si>
  <si>
    <t>python,c,perl</t>
  </si>
  <si>
    <t>https://stackoverflow.com/questions/7322420/calling-javascript-object-method-using-webbrowser-document-invokescript</t>
  </si>
  <si>
    <t>2011-09-06 15:33:46Z</t>
  </si>
  <si>
    <t>2018-05-28 02:44:31Z</t>
  </si>
  <si>
    <t>Brazol</t>
  </si>
  <si>
    <t>c#,javascript,.net,winforms,browser</t>
  </si>
  <si>
    <t>https://stackoverflow.com/questions/20692053/callback-as-parameter-of-c-structure-java-wrapper-generation</t>
  </si>
  <si>
    <t>2013-12-19 21:29:33Z</t>
  </si>
  <si>
    <t>2014-01-18 05:01:02Z</t>
  </si>
  <si>
    <t>triclosan</t>
  </si>
  <si>
    <t>https://stackoverflow.com/questions/54545813/using-kill-to-trigger-a-parents-waitpid</t>
  </si>
  <si>
    <t>2019-02-06 02:26:57Z</t>
  </si>
  <si>
    <t>2019-02-06 13:42:44Z</t>
  </si>
  <si>
    <t>payne</t>
  </si>
  <si>
    <t>c,shell,posix</t>
  </si>
  <si>
    <t>https://stackoverflow.com/questions/35545598/custom-events-in-react-native-android-native-ui-component</t>
  </si>
  <si>
    <t>2016-02-22 03:59:26Z</t>
  </si>
  <si>
    <t>2016-09-12 09:14:53Z</t>
  </si>
  <si>
    <t>btmcnellis</t>
  </si>
  <si>
    <t>javascript,java,android,react-native</t>
  </si>
  <si>
    <t>https://stackoverflow.com/questions/39498702/passing-arguments-to-python-from-shell-script</t>
  </si>
  <si>
    <t>2016-09-14 19:58:40Z</t>
  </si>
  <si>
    <t>2018-10-19 00:03:04Z</t>
  </si>
  <si>
    <t>kskp</t>
  </si>
  <si>
    <t>python,shell,arguments</t>
  </si>
  <si>
    <t>https://stackoverflow.com/questions/5367515/how-to-call-a-c-dll-exported-function-from-c-sharp</t>
  </si>
  <si>
    <t>2011-03-20 08:42:42Z</t>
  </si>
  <si>
    <t>2011-03-20 09:04:15Z</t>
  </si>
  <si>
    <t>https://stackoverflow.com/questions/54636989/java-socket-fails-to-connect-to-0-0-0-0-with-noroutetohostexception-instead-of</t>
  </si>
  <si>
    <t>2019-02-11 18:35:32Z</t>
  </si>
  <si>
    <t>2019-03-03 14:27:01Z</t>
  </si>
  <si>
    <t>Mino_e</t>
  </si>
  <si>
    <t>java,python,sockets,networking,linux-kernel</t>
  </si>
  <si>
    <t>https://stackoverflow.com/questions/15414753/shared-memory-between-c-and-java-processes</t>
  </si>
  <si>
    <t>2013-03-14 16:23:46Z</t>
  </si>
  <si>
    <t>2013-03-14 17:37:53Z</t>
  </si>
  <si>
    <t>Brent Campbell</t>
  </si>
  <si>
    <t>java,c++,java-native-interface,shared-memory</t>
  </si>
  <si>
    <t>https://stackoverflow.com/questions/55964908/passing-jwt-token-to-sockjs</t>
  </si>
  <si>
    <t>2019-05-03 07:14:04Z</t>
  </si>
  <si>
    <t>2019-05-21 09:32:00Z</t>
  </si>
  <si>
    <t>Manolis Pap</t>
  </si>
  <si>
    <t>javascript,java,spring-boot,websocket,sockjs</t>
  </si>
  <si>
    <t>https://stackoverflow.com/questions/21852459/tomcat-7-0-50-java-websocket-implementation-gives-404-error</t>
  </si>
  <si>
    <t>2014-02-18 11:32:11Z</t>
  </si>
  <si>
    <t>2017-10-31 13:07:03Z</t>
  </si>
  <si>
    <t>Shailesh Vaishampayan</t>
  </si>
  <si>
    <t>java,javascript,tomcat,websocket</t>
  </si>
  <si>
    <t>https://stackoverflow.com/questions/12249885/java-android-httpurlconnection-setchunkedstreamingmode-not-working-with-all-php</t>
  </si>
  <si>
    <t>2012-09-03 14:35:36Z</t>
  </si>
  <si>
    <t>2012-09-18 01:40:01Z</t>
  </si>
  <si>
    <t>BlueScreenOfTOM</t>
  </si>
  <si>
    <t>java,php,android</t>
  </si>
  <si>
    <t>https://stackoverflow.com/questions/23273628/angularjs-calling-java-functions</t>
  </si>
  <si>
    <t>2014-04-24 15:41:12Z</t>
  </si>
  <si>
    <t>2017-05-13 08:18:54Z</t>
  </si>
  <si>
    <t>user3144600</t>
  </si>
  <si>
    <t>java,javascript,angularjs,mongodb</t>
  </si>
  <si>
    <t>https://stackoverflow.com/questions/14571582/cant-call-jnlp-deployed-applet-code-from-javascript</t>
  </si>
  <si>
    <t>2013-01-28 21:29:06Z</t>
  </si>
  <si>
    <t>2013-03-01 08:12:47Z</t>
  </si>
  <si>
    <t>spamguy</t>
  </si>
  <si>
    <t>java,javascript,applet,jnlp</t>
  </si>
  <si>
    <t>https://stackoverflow.com/questions/20732980/how-to-use-socket-with-a-python-client-and-a-c-server</t>
  </si>
  <si>
    <t>2013-12-22 19:06:47Z</t>
  </si>
  <si>
    <t>2020-11-05 20:17:42Z</t>
  </si>
  <si>
    <t>Dougui</t>
  </si>
  <si>
    <t>python,c++,sockets</t>
  </si>
  <si>
    <t>https://stackoverflow.com/questions/22854749/flask-and-ajax-post-http-400-bad-request-error</t>
  </si>
  <si>
    <t>2014-04-04 06:03:28Z</t>
  </si>
  <si>
    <t>2021-01-01 16:28:16Z</t>
  </si>
  <si>
    <t>wirrbel</t>
  </si>
  <si>
    <t>javascript,jquery,python,ajax,flask</t>
  </si>
  <si>
    <t>https://stackoverflow.com/questions/42475492/how-to-read-and-echo-file-size-of-uploaded-file-being-written-at-server-in-real</t>
  </si>
  <si>
    <t>2017-02-26 23:22:19Z</t>
  </si>
  <si>
    <t>2017-08-11 16:10:38Z</t>
  </si>
  <si>
    <t>guest271314</t>
  </si>
  <si>
    <t>javascript,php,multithreading,file-upload,language-agnostic</t>
  </si>
  <si>
    <t>https://stackoverflow.com/questions/18583273/issues-with-cors-flask-angularjs</t>
  </si>
  <si>
    <t>2013-09-03 02:38:06Z</t>
  </si>
  <si>
    <t>2013-09-10 23:27:57Z</t>
  </si>
  <si>
    <t>Kylee</t>
  </si>
  <si>
    <t>javascript,python,mongodb,angularjs,flask</t>
  </si>
  <si>
    <t>https://stackoverflow.com/questions/48777708/react-frontend-connecting-to-flask-backend-howto</t>
  </si>
  <si>
    <t>2018-02-14 00:09:04Z</t>
  </si>
  <si>
    <t>2020-09-01 05:31:26Z</t>
  </si>
  <si>
    <t>lordlabakdas</t>
  </si>
  <si>
    <t>javascript,python,reactjs,flask,flask-restful</t>
  </si>
  <si>
    <t>https://stackoverflow.com/questions/17834243/how-to-read-formdata-object-in-php</t>
  </si>
  <si>
    <t>2013-07-24 12:36:21Z</t>
  </si>
  <si>
    <t>2021-05-10 07:55:24Z</t>
  </si>
  <si>
    <t>Anurag Singh</t>
  </si>
  <si>
    <t>https://stackoverflow.com/questions/49010415/flask-request-get-json-returning-none-when-valid-json-data-sent-via-post-reque</t>
  </si>
  <si>
    <t>2018-02-27 13:56:14Z</t>
  </si>
  <si>
    <t>2018-02-27 14:06:24Z</t>
  </si>
  <si>
    <t>Philip Butler</t>
  </si>
  <si>
    <t>https://stackoverflow.com/questions/19370223/why-is-my-ajax-request-getting-response-0</t>
  </si>
  <si>
    <t>2013-10-14 22:20:11Z</t>
  </si>
  <si>
    <t>2017-09-27 12:52:45Z</t>
  </si>
  <si>
    <t>UzumakiDev</t>
  </si>
  <si>
    <t>javascript,php,jquery,ajax,wordpress</t>
  </si>
  <si>
    <t>https://stackoverflow.com/questions/42663777/html-vs-jsp-get-request-header-token-value</t>
  </si>
  <si>
    <t>2017-03-08 05:39:39Z</t>
  </si>
  <si>
    <t>2017-03-27 08:21:48Z</t>
  </si>
  <si>
    <t>Human Being</t>
  </si>
  <si>
    <t>javascript,java,html,jsp,angular</t>
  </si>
  <si>
    <t>https://stackoverflow.com/questions/31366855/how-to-bind-zeromq-socket-with-ratchet-web-socket-library-to-make-real-time-appl</t>
  </si>
  <si>
    <t>2015-07-12 10:37:47Z</t>
  </si>
  <si>
    <t>2015-07-13 06:59:25Z</t>
  </si>
  <si>
    <t>Nirmalz Thapaz</t>
  </si>
  <si>
    <t>javascript,php,ajax,sockets,ratchet</t>
  </si>
  <si>
    <t>https://stackoverflow.com/questions/29626410/krajee-bootstrap-file-input-catching-ajax-success-response</t>
  </si>
  <si>
    <t>2015-04-14 11:43:05Z</t>
  </si>
  <si>
    <t>2020-05-20 10:46:43Z</t>
  </si>
  <si>
    <t>oussama kamal</t>
  </si>
  <si>
    <t>javascript,php,jquery,ajax,twitter-bootstrap</t>
  </si>
  <si>
    <t>https://stackoverflow.com/questions/30971295/how-to-do-login-with-ajax-and-json-for-hibrid-mobile-app</t>
  </si>
  <si>
    <t>2015-06-22 02:16:36Z</t>
  </si>
  <si>
    <t>2015-06-22 07:41:35Z</t>
  </si>
  <si>
    <t>Mahfud Muhammad</t>
  </si>
  <si>
    <t>javascript,php,jquery,ajax,json</t>
  </si>
  <si>
    <t>https://stackoverflow.com/questions/28386534/post-request-with-jquery-and-laravel-framework</t>
  </si>
  <si>
    <t>2015-02-07 19:42:37Z</t>
  </si>
  <si>
    <t>2017-06-08 04:47:54Z</t>
  </si>
  <si>
    <t>Vladimir</t>
  </si>
  <si>
    <t>javascript,php,jquery,ajax,laravel-5</t>
  </si>
  <si>
    <t>https://stackoverflow.com/questions/6314320/designing-javascript-frontend-c-backend-communication</t>
  </si>
  <si>
    <t>2011-06-11 05:38:21Z</t>
  </si>
  <si>
    <t>2011-06-11 05:59:16Z</t>
  </si>
  <si>
    <t>Igor</t>
  </si>
  <si>
    <t>javascript,c++,node.js,frontend,backend</t>
  </si>
  <si>
    <t>https://stackoverflow.com/questions/51585831/get-info-by-javascript-in-laravel</t>
  </si>
  <si>
    <t>2018-07-30 01:03:24Z</t>
  </si>
  <si>
    <t>2018-10-19 17:41:18Z</t>
  </si>
  <si>
    <t>mafortis</t>
  </si>
  <si>
    <t>javascript,php,html,laravel,eloquent</t>
  </si>
  <si>
    <t>https://stackoverflow.com/questions/8854816/keeping-the-cookie-after-a-cross-domain-ajax-request</t>
  </si>
  <si>
    <t>2012-01-13 17:39:36Z</t>
  </si>
  <si>
    <t>2021-02-12 00:27:34Z</t>
  </si>
  <si>
    <t>AtnNn</t>
  </si>
  <si>
    <t>https://stackoverflow.com/questions/10405515/piping-in-shell-via-python-subprocess-module</t>
  </si>
  <si>
    <t>2012-05-01 22:53:29Z</t>
  </si>
  <si>
    <t>2013-02-26 22:29:40Z</t>
  </si>
  <si>
    <t>adelbertc</t>
  </si>
  <si>
    <t>python,shell,subprocess,pipe</t>
  </si>
  <si>
    <t>https://stackoverflow.com/questions/3752231/socket-no-route-to-host-error</t>
  </si>
  <si>
    <t>2010-09-20 14:07:37Z</t>
  </si>
  <si>
    <t>2010-09-20 17:34:25Z</t>
  </si>
  <si>
    <t>Vishesh Handa</t>
  </si>
  <si>
    <t>python,c,sockets,routing</t>
  </si>
  <si>
    <t>https://stackoverflow.com/questions/4024275/jetty-preflight-and-ajax</t>
  </si>
  <si>
    <t>2010-10-26 13:45:59Z</t>
  </si>
  <si>
    <t>2015-05-12 15:44:01Z</t>
  </si>
  <si>
    <t>Jorgen</t>
  </si>
  <si>
    <t>java,javascript,ajax,jetty</t>
  </si>
  <si>
    <t>https://stackoverflow.com/questions/31391483/long-polling-with-php-curl</t>
  </si>
  <si>
    <t>2015-07-13 19:08:43Z</t>
  </si>
  <si>
    <t>2017-03-17 21:36:04Z</t>
  </si>
  <si>
    <t>Jonatha Suh</t>
  </si>
  <si>
    <t>javascript,php,ajax,curl</t>
  </si>
  <si>
    <t>https://stackoverflow.com/questions/5169434/content-transfer-encoding-in-file-uploading-request</t>
  </si>
  <si>
    <t>2011-03-02 15:10:02Z</t>
  </si>
  <si>
    <t>2019-05-26 15:37:14Z</t>
  </si>
  <si>
    <t>Scalar</t>
  </si>
  <si>
    <t>php,javascript,http-headers,xmlhttprequest</t>
  </si>
  <si>
    <t>https://stackoverflow.com/questions/29516515/how-to-get-a-zip-with-ajax-from-php-server</t>
  </si>
  <si>
    <t>2015-04-08 13:46:56Z</t>
  </si>
  <si>
    <t>2019-11-06 14:03:51Z</t>
  </si>
  <si>
    <t>Teo M</t>
  </si>
  <si>
    <t>https://stackoverflow.com/questions/10936407/ajax-type-post-post-method-to-php</t>
  </si>
  <si>
    <t>2012-06-07 16:59:36Z</t>
  </si>
  <si>
    <t>2021-05-15 14:09:12Z</t>
  </si>
  <si>
    <t>user1201915</t>
  </si>
  <si>
    <t>php,javascript,jquery,ajax,post</t>
  </si>
  <si>
    <t>https://stackoverflow.com/questions/24192138/signalr-longpolling-multiple-groups-add-for-a-single-client-exception</t>
  </si>
  <si>
    <t>2014-06-12 19:10:37Z</t>
  </si>
  <si>
    <t>2014-06-22 13:51:45Z</t>
  </si>
  <si>
    <t>Adam</t>
  </si>
  <si>
    <t>https://stackoverflow.com/questions/20084549/angularjs-form-post-data-not-posted</t>
  </si>
  <si>
    <t>2013-11-19 23:40:09Z</t>
  </si>
  <si>
    <t>2014-08-03 18:08:06Z</t>
  </si>
  <si>
    <t>GRowing</t>
  </si>
  <si>
    <t>javascript,php,angularjs</t>
  </si>
  <si>
    <t>https://stackoverflow.com/questions/21441786/post-to-php-from-node-js</t>
  </si>
  <si>
    <t>2014-01-29 20:19:49Z</t>
  </si>
  <si>
    <t>2014-11-10 09:45:31Z</t>
  </si>
  <si>
    <t>Nicholas Kreidberg</t>
  </si>
  <si>
    <t>javascript,php,node.js,post,express</t>
  </si>
  <si>
    <t>https://stackoverflow.com/questions/22329047/server-side-event-how-to-pass-parameters-to-server-side-script-append-query-s</t>
  </si>
  <si>
    <t>2014-03-11 14:41:46Z</t>
  </si>
  <si>
    <t>2015-07-13 02:32:22Z</t>
  </si>
  <si>
    <t>Allasso</t>
  </si>
  <si>
    <t>javascript,php</t>
  </si>
  <si>
    <t>https://stackoverflow.com/questions/49509612/postman-access-full-request-body-to-calculate-hash-in-pre-request-script</t>
  </si>
  <si>
    <t>2018-03-27 09:47:44Z</t>
  </si>
  <si>
    <t>2018-04-04 20:56:07Z</t>
  </si>
  <si>
    <t>Misiu</t>
  </si>
  <si>
    <t>javascript,c#,security,postman</t>
  </si>
  <si>
    <t>https://stackoverflow.com/questions/2853725/whats-the-best-way-to-debug-ajax-to-php-calls</t>
  </si>
  <si>
    <t>2010-05-17 23:46:04Z</t>
  </si>
  <si>
    <t>2010-05-18 01:32:55Z</t>
  </si>
  <si>
    <t>Howard Zoopaloopa</t>
  </si>
  <si>
    <t>https://stackoverflow.com/questions/27635738/warning-missing-boundary-in-multipart-form-data-post-data-in-unknown-on-line-0</t>
  </si>
  <si>
    <t>2014-12-24 10:55:04Z</t>
  </si>
  <si>
    <t>2017-06-15 07:32:47Z</t>
  </si>
  <si>
    <t>Maroxtn</t>
  </si>
  <si>
    <t>javascript,php,ajax,html,xmlhttprequest</t>
  </si>
  <si>
    <t>https://stackoverflow.com/questions/37506637/how-to-clear-ajax-response</t>
  </si>
  <si>
    <t>2016-05-29 05:46:32Z</t>
  </si>
  <si>
    <t>2016-05-29 06:15:14Z</t>
  </si>
  <si>
    <t>https://stackoverflow.com/questions/8897642/submitting-from-jquery-to-php</t>
  </si>
  <si>
    <t>2012-01-17 15:53:35Z</t>
  </si>
  <si>
    <t>2015-12-22 11:14:10Z</t>
  </si>
  <si>
    <t>user1154295</t>
  </si>
  <si>
    <t>https://stackoverflow.com/questions/10740479/two-way-c-to-c-sharp-communication-using-named-pipes</t>
  </si>
  <si>
    <t>2012-05-24 15:22:24Z</t>
  </si>
  <si>
    <t>2012-09-27 05:05:26Z</t>
  </si>
  <si>
    <t>Bob Moore</t>
  </si>
  <si>
    <t>c#,c++,visual-c++,named-pipes</t>
  </si>
  <si>
    <t>https://stackoverflow.com/questions/30680562/send-form-data-with-jquery-ajax-json</t>
  </si>
  <si>
    <t>2015-06-06 08:16:11Z</t>
  </si>
  <si>
    <t>2018-12-13 06:44:54Z</t>
  </si>
  <si>
    <t>user1888798</t>
  </si>
  <si>
    <t>https://stackoverflow.com/questions/29533254/integrate-node-js-and-socket-io-with-codeigniter</t>
  </si>
  <si>
    <t>2015-04-09 08:14:49Z</t>
  </si>
  <si>
    <t>2021-04-07 04:24:50Z</t>
  </si>
  <si>
    <t>user254153</t>
  </si>
  <si>
    <t>javascript,php,node.js,codeigniter,socket.io</t>
  </si>
  <si>
    <t>https://stackoverflow.com/questions/3124636/detect-ajax-calling-url</t>
  </si>
  <si>
    <t>2010-06-26 16:39:06Z</t>
  </si>
  <si>
    <t>2010-07-16 16:53:51Z</t>
  </si>
  <si>
    <t>Origamiguy</t>
  </si>
  <si>
    <t>php,javascript,html,ajax</t>
  </si>
  <si>
    <t>https://stackoverflow.com/questions/308054/learning-how-to-use-ajax-with-codeigniter</t>
  </si>
  <si>
    <t>2008-11-21 06:35:38Z</t>
  </si>
  <si>
    <t>2013-08-19 03:23:40Z</t>
  </si>
  <si>
    <t>php,javascript,ajax,codeigniter</t>
  </si>
  <si>
    <t>https://stackoverflow.com/questions/29727436/upload-progress-bar-using-session-in-php-5-4-with-codeigniter</t>
  </si>
  <si>
    <t>2015-04-19 08:11:27Z</t>
  </si>
  <si>
    <t>2015-05-07 10:33:39Z</t>
  </si>
  <si>
    <t>javascript,php,codeigniter,session</t>
  </si>
  <si>
    <t>https://stackoverflow.com/questions/11350769/ajax-call-in-jsf-2-0-myfaces-the-onevent-javascript-function-in-the-ajax-tag</t>
  </si>
  <si>
    <t>2012-07-05 18:57:26Z</t>
  </si>
  <si>
    <t>2016-05-20 01:39:26Z</t>
  </si>
  <si>
    <t>james</t>
  </si>
  <si>
    <t>java,javascript,jsf-2,dojo</t>
  </si>
  <si>
    <t>https://stackoverflow.com/questions/37690068/laravel-refresh-data-after-ajax</t>
  </si>
  <si>
    <t>2016-06-07 21:54:50Z</t>
  </si>
  <si>
    <t>2017-10-05 22:59:39Z</t>
  </si>
  <si>
    <t>bradley546994</t>
  </si>
  <si>
    <t>javascript,php,jquery,ajax,laravel</t>
  </si>
  <si>
    <t>https://stackoverflow.com/questions/30011998/asp-net-500-internal-server-error-while-calling-webmethod-from-javascript</t>
  </si>
  <si>
    <t>2015-05-03 08:59:56Z</t>
  </si>
  <si>
    <t>2019-01-24 15:45:02Z</t>
  </si>
  <si>
    <t>M A.</t>
  </si>
  <si>
    <t>javascript,c#,asp.net,ajax</t>
  </si>
  <si>
    <t>https://stackoverflow.com/questions/3558662/custom-javascript-ajax-for-asp-net</t>
  </si>
  <si>
    <t>2010-08-24 16:27:25Z</t>
  </si>
  <si>
    <t>2010-09-02 17:23:51Z</t>
  </si>
  <si>
    <t>Morgan</t>
  </si>
  <si>
    <t>c#,javascript</t>
  </si>
  <si>
    <t>https://stackoverflow.com/questions/16433794/get-ajax-post-data-on-php-via-javascript-call</t>
  </si>
  <si>
    <t>2013-11-01 05:52:48Z</t>
  </si>
  <si>
    <t>javascript,php,sql-server,knockout.js</t>
  </si>
  <si>
    <t>https://stackoverflow.com/questions/38898776/add-access-control-allow-origin-on-http-listener-in-c-rest-sdk</t>
  </si>
  <si>
    <t>2016-08-11 14:11:25Z</t>
  </si>
  <si>
    <t>2016-08-17 08:42:12Z</t>
  </si>
  <si>
    <t>rnd_nr_gen</t>
  </si>
  <si>
    <t>javascript,c++,cors,cross-domain,casablanca</t>
  </si>
  <si>
    <t>https://stackoverflow.com/questions/7294830/sending-encoding-response-in-json</t>
  </si>
  <si>
    <t>2011-09-03 17:52:50Z</t>
  </si>
  <si>
    <t>2017-09-23 06:52:32Z</t>
  </si>
  <si>
    <t>MrFoh</t>
  </si>
  <si>
    <t>php,javascript,jquery,json</t>
  </si>
  <si>
    <t>https://stackoverflow.com/questions/33240409/how-to-submit-checkboxes-from-all-pages-with-jquery-datatables</t>
  </si>
  <si>
    <t>2015-10-20 15:15:21Z</t>
  </si>
  <si>
    <t>2019-03-05 12:13:15Z</t>
  </si>
  <si>
    <t>athira</t>
  </si>
  <si>
    <t>javascript,php,jquery,ajax,datatables</t>
  </si>
  <si>
    <t>https://stackoverflow.com/questions/19155192/jquery-ajax-call-to-php-script-with-json-return</t>
  </si>
  <si>
    <t>2013-10-03 09:10:22Z</t>
  </si>
  <si>
    <t>2015-09-09 21:44:24Z</t>
  </si>
  <si>
    <t>Steven Marks</t>
  </si>
  <si>
    <t>https://stackoverflow.com/questions/11570713/how-to-receive-json-object-in-php</t>
  </si>
  <si>
    <t>2012-07-19 23:19:36Z</t>
  </si>
  <si>
    <t>2012-07-19 23:35:03Z</t>
  </si>
  <si>
    <t>Ozzy</t>
  </si>
  <si>
    <t>https://stackoverflow.com/questions/3789881/create-and-call-python-function-from-string-via-c-api</t>
  </si>
  <si>
    <t>2010-09-24 18:28:05Z</t>
  </si>
  <si>
    <t>2019-06-12 13:52:33Z</t>
  </si>
  <si>
    <t>alanc10n</t>
  </si>
  <si>
    <t>python,c,embed</t>
  </si>
  <si>
    <t>https://stackoverflow.com/questions/11138929/calling-c-functions-inside-javascript</t>
  </si>
  <si>
    <t>2012-06-21 13:10:59Z</t>
  </si>
  <si>
    <t>2017-09-28 13:16:37Z</t>
  </si>
  <si>
    <t>ahmet</t>
  </si>
  <si>
    <t>javascript,html,c,translation</t>
  </si>
  <si>
    <t>https://stackoverflow.com/questions/5107694/how-do-i-add-a-reference-to-an-unmanaged-c-project-called-by-a-c-sharp-project</t>
  </si>
  <si>
    <t>2011-02-24 16:45:16Z</t>
  </si>
  <si>
    <t>2017-02-28 11:27:17Z</t>
  </si>
  <si>
    <t>WaffleSouffle</t>
  </si>
  <si>
    <t>c#,c++,visual-studio,unmanaged</t>
  </si>
  <si>
    <t>https://stackoverflow.com/questions/935664/possible-to-call-c-code-from-c</t>
  </si>
  <si>
    <t>2009-06-01 16:46:38Z</t>
  </si>
  <si>
    <t>2021-04-22 15:21:48Z</t>
  </si>
  <si>
    <t>c#,.net,c++,unmanaged,managed</t>
  </si>
  <si>
    <t>https://stackoverflow.com/questions/16647186/calling-c-functions-in-python</t>
  </si>
  <si>
    <t>2013-05-20 10:11:38Z</t>
  </si>
  <si>
    <t>2015-08-28 06:44:22Z</t>
  </si>
  <si>
    <t>Kitchi</t>
  </si>
  <si>
    <t>https://stackoverflow.com/questions/56466822/can-c-be-called-from-c-sharp-compiled-to-wasm</t>
  </si>
  <si>
    <t>2019-06-05 19:27:12Z</t>
  </si>
  <si>
    <t>2019-07-15 14:30:46Z</t>
  </si>
  <si>
    <t>Stan Wijckmans</t>
  </si>
  <si>
    <t>c#,c++,webassembly,uno-platform</t>
  </si>
  <si>
    <t>https://stackoverflow.com/questions/2532907/combining-c-and-c-sharp</t>
  </si>
  <si>
    <t>2010-03-28 12:42:47Z</t>
  </si>
  <si>
    <t>2020-10-20 16:06:52Z</t>
  </si>
  <si>
    <t>cam</t>
  </si>
  <si>
    <t>https://stackoverflow.com/questions/15822788/how-to-call-a-c-api-from-c-sharp</t>
  </si>
  <si>
    <t>2013-04-04 22:23:57Z</t>
  </si>
  <si>
    <t>2013-04-06 16:39:55Z</t>
  </si>
  <si>
    <t>AK_</t>
  </si>
  <si>
    <t>c#,c++,dll,interop,pinvoke</t>
  </si>
  <si>
    <t>https://stackoverflow.com/questions/2211867/how-do-i-call-c-cli-from-c</t>
  </si>
  <si>
    <t>2010-02-06 03:15:05Z</t>
  </si>
  <si>
    <t>2021-02-19 20:45:55Z</t>
  </si>
  <si>
    <t>master chief</t>
  </si>
  <si>
    <t>c#,c++,c++-cli,pinvoke,managed-c++</t>
  </si>
  <si>
    <t>https://stackoverflow.com/questions/12738827/how-can-i-call-scikit-learn-classifiers-from-java</t>
  </si>
  <si>
    <t>2012-10-05 02:50:26Z</t>
  </si>
  <si>
    <t>2019-02-21 17:57:05Z</t>
  </si>
  <si>
    <t>Thomas Johnson</t>
  </si>
  <si>
    <t>java,python,jython,scikit-learn</t>
  </si>
  <si>
    <t>https://stackoverflow.com/questions/29165155/calling-javascript-from-c-with-node-js</t>
  </si>
  <si>
    <t>2015-03-20 11:11:14Z</t>
  </si>
  <si>
    <t>2019-03-29 15:20:38Z</t>
  </si>
  <si>
    <t>plasmacel</t>
  </si>
  <si>
    <t>javascript,c++,node.js</t>
  </si>
  <si>
    <t>https://stackoverflow.com/questions/2261347/amqp-c-implementation</t>
  </si>
  <si>
    <t>2010-02-14 14:13:37Z</t>
  </si>
  <si>
    <t>2020-09-21 11:19:57Z</t>
  </si>
  <si>
    <t>Hacker_PK</t>
  </si>
  <si>
    <t>c++,python,amqp</t>
  </si>
  <si>
    <t>https://stackoverflow.com/questions/30686330/running-c-sharp-code-from-c-application-android-ndk-for-free</t>
  </si>
  <si>
    <t>2015-06-06 18:38:53Z</t>
  </si>
  <si>
    <t>2015-06-16 00:55:58Z</t>
  </si>
  <si>
    <t>kiwibonga</t>
  </si>
  <si>
    <t>c#,c++,.net,android-ndk</t>
  </si>
  <si>
    <t>https://stackoverflow.com/questions/8599595/send-json-data-from-javascript-to-php</t>
  </si>
  <si>
    <t>2011-12-22 04:56:22Z</t>
  </si>
  <si>
    <t>2020-12-22 08:07:01Z</t>
  </si>
  <si>
    <t>kermit</t>
  </si>
  <si>
    <t>https://stackoverflow.com/questions/3146017/how-do-i-share-a-constant-between-c-sharp-and-c-code</t>
  </si>
  <si>
    <t>2010-06-30 02:02:28Z</t>
  </si>
  <si>
    <t>2017-01-25 17:19:40Z</t>
  </si>
  <si>
    <t>dlanod</t>
  </si>
  <si>
    <t>c#,c++,idl,maintainability</t>
  </si>
  <si>
    <t>https://stackoverflow.com/questions/5965655/communication-between-php-and-python</t>
  </si>
  <si>
    <t>2011-05-11 14:12:09Z</t>
  </si>
  <si>
    <t>2014-06-19 04:51:49Z</t>
  </si>
  <si>
    <t>H. Stefan</t>
  </si>
  <si>
    <t>php,python,ajax,ipc</t>
  </si>
  <si>
    <t>https://stackoverflow.com/questions/35462175/call-python-function-from-c-sharp-net</t>
  </si>
  <si>
    <t>2016-02-17 16:20:06Z</t>
  </si>
  <si>
    <t>2017-07-13 13:31:24Z</t>
  </si>
  <si>
    <t>Morganis</t>
  </si>
  <si>
    <t>c#,python,.net</t>
  </si>
  <si>
    <t>https://stackoverflow.com/questions/5549562/running-php-script-php-function-in-linux-bash</t>
  </si>
  <si>
    <t>2011-04-05 09:06:06Z</t>
  </si>
  <si>
    <t>2021-08-01 19:45:13Z</t>
  </si>
  <si>
    <t>chrithccmc</t>
  </si>
  <si>
    <t>php,linux,bash,shell</t>
  </si>
  <si>
    <t>https://stackoverflow.com/questions/46812185/call-c-net-core-method-from-c</t>
  </si>
  <si>
    <t>2017-10-18 14:08:36Z</t>
  </si>
  <si>
    <t>2018-01-02 16:00:23Z</t>
  </si>
  <si>
    <t>Andrew K</t>
  </si>
  <si>
    <t>c#,c++,ubuntu,.net-core,cross-platform</t>
  </si>
  <si>
    <t>https://stackoverflow.com/questions/44954565/wordpress-vue-js-contact-forms</t>
  </si>
  <si>
    <t>2017-07-06 16:35:33Z</t>
  </si>
  <si>
    <t>2019-05-17 23:06:24Z</t>
  </si>
  <si>
    <t>mmarquez</t>
  </si>
  <si>
    <t>javascript,php,wordpress,vue.js</t>
  </si>
  <si>
    <t>https://stackoverflow.com/questions/15499746/multi-language-integration-testing-framework</t>
  </si>
  <si>
    <t>2013-03-19 12:38:25Z</t>
  </si>
  <si>
    <t>2014-10-23 09:05:51Z</t>
  </si>
  <si>
    <t>kappolo</t>
  </si>
  <si>
    <t>java,php,testing,integration-testing,bdd</t>
  </si>
  <si>
    <t>https://stackoverflow.com/questions/8638984/send-post-data-to-php-without-using-an-html-form</t>
  </si>
  <si>
    <t>2011-12-26 20:42:31Z</t>
  </si>
  <si>
    <t>2017-01-22 05:31:32Z</t>
  </si>
  <si>
    <t>bag-man</t>
  </si>
  <si>
    <t>https://stackoverflow.com/questions/1792643/how-do-i-change-the-shell-for-phps-exec</t>
  </si>
  <si>
    <t>2009-11-24 20:16:03Z</t>
  </si>
  <si>
    <t>2021-04-10 22:27:53Z</t>
  </si>
  <si>
    <t>Timo</t>
  </si>
  <si>
    <t>php,bash,shell,ubuntu,exec</t>
  </si>
  <si>
    <t>https://stackoverflow.com/questions/12292425/google-native-client-sending-binary-data-from-nacl-to-the-frontend</t>
  </si>
  <si>
    <t>2012-09-06 03:05:37Z</t>
  </si>
  <si>
    <t>2019-05-21 20:50:33Z</t>
  </si>
  <si>
    <t>JJin</t>
  </si>
  <si>
    <t>javascript,c++,arrays,google-nativeclient</t>
  </si>
  <si>
    <t>https://stackoverflow.com/questions/31035467/for-a-push-notification-is-a-websocket-mandatory</t>
  </si>
  <si>
    <t>2015-06-24 19:34:50Z</t>
  </si>
  <si>
    <t>2019-08-14 20:15:06Z</t>
  </si>
  <si>
    <t>John Franky</t>
  </si>
  <si>
    <t>javascript,php,html,websocket,push-notification</t>
  </si>
  <si>
    <t>https://stackoverflow.com/questions/13231913/how-do-i-call-a-specific-method-from-a-python-script-in-c</t>
  </si>
  <si>
    <t>2012-11-05 12:14:38Z</t>
  </si>
  <si>
    <t>2015-03-04 22:58:39Z</t>
  </si>
  <si>
    <t>VanDeath</t>
  </si>
  <si>
    <t>c#,python,methods,arguments,ironpython</t>
  </si>
  <si>
    <t>https://stackoverflow.com/questions/42601478/flask-calling-python-function-on-button-onclick-event</t>
  </si>
  <si>
    <t>2017-03-04 21:12:56Z</t>
  </si>
  <si>
    <t>2020-10-07 07:38:30Z</t>
  </si>
  <si>
    <t>Amaan</t>
  </si>
  <si>
    <t>javascript,python,html,flask,raspberry-pi</t>
  </si>
  <si>
    <t>https://stackoverflow.com/questions/32804020/create-a-shell-script-to-run-a-java-program-on-linux</t>
  </si>
  <si>
    <t>2015-09-27 02:38:19Z</t>
  </si>
  <si>
    <t>2015-09-27 11:46:21Z</t>
  </si>
  <si>
    <t>M0rty</t>
  </si>
  <si>
    <t>java,linux,shell</t>
  </si>
  <si>
    <t>https://stackoverflow.com/questions/23949395/how-to-pass-a-javascript-array-to-a-python-script-using-flask-using-flask-examp</t>
  </si>
  <si>
    <t>2014-05-30 07:35:56Z</t>
  </si>
  <si>
    <t>2014-05-30 14:24:55Z</t>
  </si>
  <si>
    <t>Nebelhom</t>
  </si>
  <si>
    <t>javascript,python,ajax,arrays,flask</t>
  </si>
  <si>
    <t>https://stackoverflow.com/questions/11700501/python-cython-c-and-callbacks-calling-a-python-function-from-c-using-cython</t>
  </si>
  <si>
    <t>2012-07-28 11:12:50Z</t>
  </si>
  <si>
    <t>2013-08-29 12:18:11Z</t>
  </si>
  <si>
    <t>Ivan Oseledets</t>
  </si>
  <si>
    <t>python,c,function,callback,cython</t>
  </si>
  <si>
    <t>https://stackoverflow.com/questions/14184993/communication-between-c-and-c-sharp-application-through-network</t>
  </si>
  <si>
    <t>2013-01-06 17:57:13Z</t>
  </si>
  <si>
    <t>2013-01-07 06:49:12Z</t>
  </si>
  <si>
    <t>DaveDum</t>
  </si>
  <si>
    <t>c#,c++,sockets,tcp,ip</t>
  </si>
  <si>
    <t>https://stackoverflow.com/questions/6619931/how-should-an-array-be-passed-to-a-javascript-function-from-c</t>
  </si>
  <si>
    <t>2011-07-08 04:18:29Z</t>
  </si>
  <si>
    <t>2017-02-15 17:08:44Z</t>
  </si>
  <si>
    <t>anthonyvd</t>
  </si>
  <si>
    <t>c#,javascript,webbrowser-control</t>
  </si>
  <si>
    <t>https://stackoverflow.com/questions/11741574/how-to-print-utf-8-encoded-text-to-the-console-in-python-3</t>
  </si>
  <si>
    <t>2012-07-31 13:45:08Z</t>
  </si>
  <si>
    <t>2020-09-04 11:16:33Z</t>
  </si>
  <si>
    <t>Brutus</t>
  </si>
  <si>
    <t>python,shell,encoding,utf-8,ascii</t>
  </si>
  <si>
    <t>https://stackoverflow.com/questions/9623593/pass-javascript-variable-to-php-code</t>
  </si>
  <si>
    <t>2012-03-08 19:28:05Z</t>
  </si>
  <si>
    <t>2014-05-19 15:39:30Z</t>
  </si>
  <si>
    <t>ewein</t>
  </si>
  <si>
    <t>https://stackoverflow.com/questions/38678239/execute-google-chart-api-javascript-in-php-file</t>
  </si>
  <si>
    <t>2016-07-30 20:33:41Z</t>
  </si>
  <si>
    <t>2016-08-09 19:21:15Z</t>
  </si>
  <si>
    <t>Carol.Kar</t>
  </si>
  <si>
    <t>javascript,php,wordpress,google-visualization</t>
  </si>
  <si>
    <t>https://stackoverflow.com/questions/26855631/javascript-to-django-views-py</t>
  </si>
  <si>
    <t>2014-11-11 00:41:38Z</t>
  </si>
  <si>
    <t>2014-11-11 05:52:06Z</t>
  </si>
  <si>
    <t>Anne McLaughlin</t>
  </si>
  <si>
    <t>javascript,python,django</t>
  </si>
  <si>
    <t>https://stackoverflow.com/questions/33959189/how-to-locally-call-a-javascript-function-from-php-on-raspberry-pi</t>
  </si>
  <si>
    <t>2015-11-27 14:10:10Z</t>
  </si>
  <si>
    <t>2015-11-28 04:10:29Z</t>
  </si>
  <si>
    <t>Sander Van Den Hout</t>
  </si>
  <si>
    <t>https://stackoverflow.com/questions/36853411/using-javascript-to-call-c-in-internet-explorer</t>
  </si>
  <si>
    <t>2016-04-26 00:32:52Z</t>
  </si>
  <si>
    <t>2016-04-26 06:06:08Z</t>
  </si>
  <si>
    <t>tt9</t>
  </si>
  <si>
    <t>javascript,c++,windows,com</t>
  </si>
  <si>
    <t>https://stackoverflow.com/questions/46750959/how-to-write-event-handlers-and-detect-certain-javascript-calls-using-htmlunit</t>
  </si>
  <si>
    <t>2017-10-15 01:49:04Z</t>
  </si>
  <si>
    <t>2017-10-23 10:20:37Z</t>
  </si>
  <si>
    <t>ilikeyoyo</t>
  </si>
  <si>
    <t>javascript,java,htmlunit</t>
  </si>
  <si>
    <t>https://stackoverflow.com/questions/23611396/python-execute-cat-subprocess-in-parallel</t>
  </si>
  <si>
    <t>2014-05-12 14:13:14Z</t>
  </si>
  <si>
    <t>2015-12-01 19:04:33Z</t>
  </si>
  <si>
    <t>liarspocker</t>
  </si>
  <si>
    <t>python,shell,subprocess,python-multithreading</t>
  </si>
  <si>
    <t>https://stackoverflow.com/questions/23750661/send-json-object-from-javascript-to-php</t>
  </si>
  <si>
    <t>2014-05-20 03:41:38Z</t>
  </si>
  <si>
    <t>2015-08-04 23:48:39Z</t>
  </si>
  <si>
    <t>Vish</t>
  </si>
  <si>
    <t>https://stackoverflow.com/questions/49070403/how-to-retrieve-variables-in-php-sent-by-axios-post-request</t>
  </si>
  <si>
    <t>2018-03-02 13:47:06Z</t>
  </si>
  <si>
    <t>2018-03-02 14:27:35Z</t>
  </si>
  <si>
    <t>Rakesh Kohali</t>
  </si>
  <si>
    <t>javascript,php,ajax,vue.js,axios</t>
  </si>
  <si>
    <t>https://stackoverflow.com/questions/34591729/how-to-execute-code-in-the-django-shell-by-an-external-python-script</t>
  </si>
  <si>
    <t>2016-01-04 12:58:13Z</t>
  </si>
  <si>
    <t>2020-06-12 06:52:06Z</t>
  </si>
  <si>
    <t>scre_www</t>
  </si>
  <si>
    <t>python,linux,django,shell,manage.py</t>
  </si>
  <si>
    <t>https://stackoverflow.com/questions/25383624/communication-between-c-and-python</t>
  </si>
  <si>
    <t>2014-08-19 12:37:19Z</t>
  </si>
  <si>
    <t>2016-01-18 06:59:50Z</t>
  </si>
  <si>
    <t>erling</t>
  </si>
  <si>
    <t>python,c++,cross-platform,buffer,communication</t>
  </si>
  <si>
    <t>https://stackoverflow.com/questions/48082043/calling-c-sharp-code-within-python3-6</t>
  </si>
  <si>
    <t>2018-01-03 17:12:53Z</t>
  </si>
  <si>
    <t>2021-01-06 22:23:09Z</t>
  </si>
  <si>
    <t>Skanda Avadhani</t>
  </si>
  <si>
    <t>c#,python,.net,python.net,pythonnet</t>
  </si>
  <si>
    <t>https://stackoverflow.com/questions/28289699/python-web-scraping-for-javascript-generated-content</t>
  </si>
  <si>
    <t>2015-02-03 01:07:56Z</t>
  </si>
  <si>
    <t>2015-02-03 01:19:29Z</t>
  </si>
  <si>
    <t>Nick</t>
  </si>
  <si>
    <t>javascript,python,web-scraping,scrape</t>
  </si>
  <si>
    <t>https://stackoverflow.com/questions/28905849/limiting-memory-usage-of-a-java-rhino-nashorn-object</t>
  </si>
  <si>
    <t>2015-03-06 19:04:28Z</t>
  </si>
  <si>
    <t>2015-03-06 19:10:00Z</t>
  </si>
  <si>
    <t>WhatAWorld</t>
  </si>
  <si>
    <t>java,javascript,jython,rhino,nashorn</t>
  </si>
  <si>
    <t>https://stackoverflow.com/questions/8644289/adding-values-from-c-sharp-to-div-via-javascript</t>
  </si>
  <si>
    <t>2011-12-27 11:50:10Z</t>
  </si>
  <si>
    <t>2012-01-10 09:15:12Z</t>
  </si>
  <si>
    <t>Mad coder.</t>
  </si>
  <si>
    <t>https://stackoverflow.com/questions/36340948/how-can-i-get-data-from-a-websocket-url</t>
  </si>
  <si>
    <t>2016-03-31 18:25:33Z</t>
  </si>
  <si>
    <t>2016-03-31 18:34:23Z</t>
  </si>
  <si>
    <t>Rynelf</t>
  </si>
  <si>
    <t>javascript,c#,html,node.js,websocket</t>
  </si>
  <si>
    <t>https://stackoverflow.com/questions/23157685/send-data-to-a-generic-handler-that-accepts-json-data-using-c-sharp</t>
  </si>
  <si>
    <t>2014-04-18 15:57:24Z</t>
  </si>
  <si>
    <t>2014-04-28 08:16:04Z</t>
  </si>
  <si>
    <t>Aishwarya Shiva</t>
  </si>
  <si>
    <t>c#,javascript,jquery,asp.net,json</t>
  </si>
  <si>
    <t>https://stackoverflow.com/questions/4407843/sending-password-to-command-line-tools</t>
  </si>
  <si>
    <t>2010-12-10 10:25:23Z</t>
  </si>
  <si>
    <t>2019-05-25 13:19:59Z</t>
  </si>
  <si>
    <t>theprole</t>
  </si>
  <si>
    <t>python,bash,shell</t>
  </si>
  <si>
    <t>https://stackoverflow.com/questions/1733082/implement-a-comet-server-in-c-sharp</t>
  </si>
  <si>
    <t>2009-11-14 02:56:34Z</t>
  </si>
  <si>
    <t>2011-01-16 18:22:01Z</t>
  </si>
  <si>
    <t>sura</t>
  </si>
  <si>
    <t>c#,java,interop,comet</t>
  </si>
  <si>
    <t>https://stackoverflow.com/questions/50731650/is-it-possible-to-run-webassembly-code-async</t>
  </si>
  <si>
    <t>2018-06-07 01:11:58Z</t>
  </si>
  <si>
    <t>2018-06-07 07:57:24Z</t>
  </si>
  <si>
    <t>andreas</t>
  </si>
  <si>
    <t>javascript,c,angular,typescript,webassembly</t>
  </si>
  <si>
    <t>https://stackoverflow.com/questions/11834078/how-to-convert-zval-to-vector-for-php-extension</t>
  </si>
  <si>
    <t>2012-08-06 18:49:36Z</t>
  </si>
  <si>
    <t>2012-08-06 20:18:09Z</t>
  </si>
  <si>
    <t>Prod Tester</t>
  </si>
  <si>
    <t>php,c++,php-extension,php-internals</t>
  </si>
  <si>
    <t>https://stackoverflow.com/questions/42939357/communication-between-python-and-c-sharp</t>
  </si>
  <si>
    <t>2017-03-21 22:27:48Z</t>
  </si>
  <si>
    <t>2021-08-08 02:43:06Z</t>
  </si>
  <si>
    <t>Vincent L</t>
  </si>
  <si>
    <t>c#,python,.net,rpc,python.net</t>
  </si>
  <si>
    <t>https://stackoverflow.com/questions/34662448/net-c-interop-to-python</t>
  </si>
  <si>
    <t>2016-01-07 18:24:30Z</t>
  </si>
  <si>
    <t>2021-04-29 03:57:32Z</t>
  </si>
  <si>
    <t>amcdnl</t>
  </si>
  <si>
    <t>c#,python,.net,interop,protocol-buffers</t>
  </si>
  <si>
    <t>https://stackoverflow.com/questions/34235763/execute-python-script-from-android-app-in-java</t>
  </si>
  <si>
    <t>2015-12-12 03:00:31Z</t>
  </si>
  <si>
    <t>2019-11-26 02:35:59Z</t>
  </si>
  <si>
    <t>PL13</t>
  </si>
  <si>
    <t>java,android,python,scripting</t>
  </si>
  <si>
    <t>https://stackoverflow.com/questions/4624507/building-64-bit-c-python-extensions-on-windows</t>
  </si>
  <si>
    <t>2011-01-07 10:20:42Z</t>
  </si>
  <si>
    <t>2012-08-01 23:08:16Z</t>
  </si>
  <si>
    <t>Alexandros</t>
  </si>
  <si>
    <t>python,c,64-bit</t>
  </si>
  <si>
    <t>https://stackoverflow.com/questions/33310675/pass-file-into-function-from-python-ctypes</t>
  </si>
  <si>
    <t>2015-10-23 20:13:40Z</t>
  </si>
  <si>
    <t>2016-04-26 22:45:14Z</t>
  </si>
  <si>
    <t>Brian McFarland</t>
  </si>
  <si>
    <t>https://stackoverflow.com/questions/22730210/send-log-errors-to-a-file</t>
  </si>
  <si>
    <t>2014-03-29 11:01:52Z</t>
  </si>
  <si>
    <t>2014-08-14 16:46:04Z</t>
  </si>
  <si>
    <t>user3395024</t>
  </si>
  <si>
    <t>javascript,php,jquery,syntax-error</t>
  </si>
  <si>
    <t>https://stackoverflow.com/questions/2408771/how-to-get-selected-value-from-dropdownlist-in-asp-net-using-javascript</t>
  </si>
  <si>
    <t>2010-03-09 11:59:51Z</t>
  </si>
  <si>
    <t>2021-04-09 12:13:07Z</t>
  </si>
  <si>
    <t>kumar</t>
  </si>
  <si>
    <t>javascript,c#,asp.net,dhtml</t>
  </si>
  <si>
    <t>https://stackoverflow.com/questions/42527598/call-c-class-methods-or-function-from-java-on-android-without-recreating-class</t>
  </si>
  <si>
    <t>2017-03-01 09:12:45Z</t>
  </si>
  <si>
    <t>2017-03-02 01:10:01Z</t>
  </si>
  <si>
    <t>silent_coder</t>
  </si>
  <si>
    <t>java,android,c++,android-ndk,java-native-interface</t>
  </si>
  <si>
    <t>https://stackoverflow.com/questions/7229027/how-to-get-data-to-javascript-from-php-using-json-encode</t>
  </si>
  <si>
    <t>2011-08-29 10:41:26Z</t>
  </si>
  <si>
    <t>2020-06-29 07:23:29Z</t>
  </si>
  <si>
    <t>php,javascript,csv,json</t>
  </si>
  <si>
    <t>https://stackoverflow.com/questions/7691599/execute-python-script-with-function-from-command-line-linux</t>
  </si>
  <si>
    <t>2011-10-07 18:48:36Z</t>
  </si>
  <si>
    <t>2011-10-07 19:11:10Z</t>
  </si>
  <si>
    <t>knittledan</t>
  </si>
  <si>
    <t>https://stackoverflow.com/questions/3774108/python-vs-lua-for-embedded-scripting-text-processing-engine</t>
  </si>
  <si>
    <t>2010-09-22 22:30:44Z</t>
  </si>
  <si>
    <t>2012-04-09 18:30:02Z</t>
  </si>
  <si>
    <t>Wade Tandy</t>
  </si>
  <si>
    <t>c++,python,scripting,lua,embedded-language</t>
  </si>
  <si>
    <t>https://stackoverflow.com/questions/18879056/submit-button-that-calls-js-function-and-then-posts-to-mysql</t>
  </si>
  <si>
    <t>2013-09-18 17:54:31Z</t>
  </si>
  <si>
    <t>2013-09-18 18:17:32Z</t>
  </si>
  <si>
    <t>RugerSR9</t>
  </si>
  <si>
    <t>javascript,php,html,mysql,geocoding</t>
  </si>
  <si>
    <t>https://stackoverflow.com/questions/10134963/prevent-page-scrolling-after-postback-and-maintain-position</t>
  </si>
  <si>
    <t>2012-04-13 03:44:52Z</t>
  </si>
  <si>
    <t>2020-10-26 03:45:17Z</t>
  </si>
  <si>
    <t>Kruug</t>
  </si>
  <si>
    <t>javascript,c#,asp.net,vb.net</t>
  </si>
  <si>
    <t>https://stackoverflow.com/questions/24484406/i-have-a-header-jsp-whose-style-keeps-changing-for-different-logins-its-a-dynami</t>
  </si>
  <si>
    <t>2014-06-30 06:51:41Z</t>
  </si>
  <si>
    <t>2015-10-21 12:50:14Z</t>
  </si>
  <si>
    <t>Shaik Mujahid Ali</t>
  </si>
  <si>
    <t>javascript,java,jsp,dynamic</t>
  </si>
  <si>
    <t>https://stackoverflow.com/questions/24745355/spa-firebase-and-net-webapi-2-authentication</t>
  </si>
  <si>
    <t>2014-07-14 20:26:39Z</t>
  </si>
  <si>
    <t>2020-01-23 16:17:45Z</t>
  </si>
  <si>
    <t>czlatea</t>
  </si>
  <si>
    <t>javascript,c#,asp.net,angularjs,firebase</t>
  </si>
  <si>
    <t>https://stackoverflow.com/questions/12717084/creating-custom-php-syntax-parser</t>
  </si>
  <si>
    <t>2012-10-03 21:19:13Z</t>
  </si>
  <si>
    <t>2012-10-03 22:05:04Z</t>
  </si>
  <si>
    <t>Undefined Variable</t>
  </si>
  <si>
    <t>php,javascript,syntax</t>
  </si>
  <si>
    <t>https://stackoverflow.com/questions/51663749/how-to-choose-solutions-for-secure-messaging-front-end-and-hipaa-compliant-datab</t>
  </si>
  <si>
    <t>2018-08-03 00:17:56Z</t>
  </si>
  <si>
    <t>2019-03-29 21:54:51Z</t>
  </si>
  <si>
    <t>K Owen - Reinstate Monica</t>
  </si>
  <si>
    <t>java,php,sql,azure,azure-web-app-service</t>
  </si>
  <si>
    <t>https://stackoverflow.com/questions/1071377/how-to-capture-a-website-api-traffic-data-with-google-analytics</t>
  </si>
  <si>
    <t>2009-07-01 21:00:58Z</t>
  </si>
  <si>
    <t>2009-08-01 14:34:29Z</t>
  </si>
  <si>
    <t>Saleh Al-Zaid</t>
  </si>
  <si>
    <t>php,javascript,api,google-analytics</t>
  </si>
  <si>
    <t>https://stackoverflow.com/questions/30899484/python-flask-calling-functions-using-buttons</t>
  </si>
  <si>
    <t>2015-06-17 18:25:34Z</t>
  </si>
  <si>
    <t>2020-05-29 19:39:58Z</t>
  </si>
  <si>
    <t>Sean</t>
  </si>
  <si>
    <t>https://stackoverflow.com/questions/1072920/user-friendly-framework-for-personal-website</t>
  </si>
  <si>
    <t>2014-04-07 13:10:03Z</t>
  </si>
  <si>
    <t>php,python,frameworks</t>
  </si>
  <si>
    <t>https://stackoverflow.com/questions/4276205/do-i-need-node-js-in-python-like-i-would-with-php</t>
  </si>
  <si>
    <t>2010-11-25 10:52:30Z</t>
  </si>
  <si>
    <t>2018-06-23 15:07:04Z</t>
  </si>
  <si>
    <t>skift</t>
  </si>
  <si>
    <t>php,python,twisted,node.js,nonblocking</t>
  </si>
  <si>
    <t>https://stackoverflow.com/questions/15074566/open-source-alternative-to-addthis-addtoany-sharethis-etcfor-social-bookmarking</t>
  </si>
  <si>
    <t>2013-02-25 19:11:02Z</t>
  </si>
  <si>
    <t>2019-03-26 18:15:51Z</t>
  </si>
  <si>
    <t>Sherwood Botsford</t>
  </si>
  <si>
    <t>php,javascript,html,web,social</t>
  </si>
  <si>
    <t>https://stackoverflow.com/questions/5610333/how-to-query-database-using-javascript</t>
  </si>
  <si>
    <t>2011-04-10 07:22:44Z</t>
  </si>
  <si>
    <t>2012-07-28 06:32:16Z</t>
  </si>
  <si>
    <t>Sam</t>
  </si>
  <si>
    <t>https://stackoverflow.com/questions/4746249/get-user-timezone</t>
  </si>
  <si>
    <t>2011-01-20 10:58:05Z</t>
  </si>
  <si>
    <t>2021-01-18 17:00:22Z</t>
  </si>
  <si>
    <t>andrei</t>
  </si>
  <si>
    <t>php,javascript,timezone</t>
  </si>
  <si>
    <t>https://stackoverflow.com/questions/6544416/php-vs-c-cgi-for-small-web-service</t>
  </si>
  <si>
    <t>2011-07-01 06:32:25Z</t>
  </si>
  <si>
    <t>2011-07-01 06:57:16Z</t>
  </si>
  <si>
    <t>DanielGibbs</t>
  </si>
  <si>
    <t>php,c,web-services,comparison,fastcgi</t>
  </si>
  <si>
    <t>https://stackoverflow.com/questions/32916803/angular-js-and-symfony2</t>
  </si>
  <si>
    <t>2015-10-02 22:31:52Z</t>
  </si>
  <si>
    <t>2015-10-18 02:09:42Z</t>
  </si>
  <si>
    <t>Aftab Naveed</t>
  </si>
  <si>
    <t>javascript,php,json,symfony</t>
  </si>
  <si>
    <t>https://stackoverflow.com/questions/8866738/speed-of-php-vs-javascript</t>
  </si>
  <si>
    <t>2012-01-15 00:56:08Z</t>
  </si>
  <si>
    <t>2020-10-02 04:53:12Z</t>
  </si>
  <si>
    <t>Azmisov</t>
  </si>
  <si>
    <t>php,javascript,performance</t>
  </si>
  <si>
    <t>https://stackoverflow.com/questions/8379314/alternative-to-java-spring-based-webservices</t>
  </si>
  <si>
    <t>2011-12-04 23:05:26Z</t>
  </si>
  <si>
    <t>2011-12-05 03:12:36Z</t>
  </si>
  <si>
    <t>onigunn</t>
  </si>
  <si>
    <t>java,php,ruby-on-rails,web-services</t>
  </si>
  <si>
    <t>https://stackoverflow.com/questions/22084698/how-to-export-source-content-within-div-to-text-html-file</t>
  </si>
  <si>
    <t>2014-02-28 01:58:42Z</t>
  </si>
  <si>
    <t>2020-07-25 12:49:07Z</t>
  </si>
  <si>
    <t>javascript,php,html,text,export</t>
  </si>
  <si>
    <t>https://stackoverflow.com/questions/8546061/best-way-to-secure-javascript-front-end-rest-back-end-architecture-web-site</t>
  </si>
  <si>
    <t>2011-12-17 16:18:28Z</t>
  </si>
  <si>
    <t>2011-12-19 22:52:18Z</t>
  </si>
  <si>
    <t>rico</t>
  </si>
  <si>
    <t>java,javascript,security,rest,architecture</t>
  </si>
  <si>
    <t>https://stackoverflow.com/questions/2774074/best-practice-user-generated-html-cleaning</t>
  </si>
  <si>
    <t>2010-05-05 14:26:22Z</t>
  </si>
  <si>
    <t>2010-05-05 15:45:13Z</t>
  </si>
  <si>
    <t>Martin</t>
  </si>
  <si>
    <t>php,javascript,html,wysiwyg,xss</t>
  </si>
  <si>
    <t>https://stackoverflow.com/questions/29949338/encryption-between-desktop-app-and-server-c-sharp-to-php</t>
  </si>
  <si>
    <t>2015-04-29 16:21:41Z</t>
  </si>
  <si>
    <t>2015-05-07 19:36:06Z</t>
  </si>
  <si>
    <t>user1547410</t>
  </si>
  <si>
    <t>c#,php,encryption-symmetric,encryption-asymmetric</t>
  </si>
  <si>
    <t>https://stackoverflow.com/questions/93911/how-can-you-run-javascript-using-rhino-for-java-in-a-sandbox</t>
  </si>
  <si>
    <t>2008-09-18 16:01:36Z</t>
  </si>
  <si>
    <t>2015-07-15 14:19:47Z</t>
  </si>
  <si>
    <t>delux247</t>
  </si>
  <si>
    <t>java,javascript,sandbox,rhino</t>
  </si>
  <si>
    <t>average</t>
  </si>
  <si>
    <t>java,c#</t>
  </si>
  <si>
    <t>c,php</t>
  </si>
  <si>
    <t>java,python,c++</t>
  </si>
  <si>
    <t>javascript,c++</t>
  </si>
  <si>
    <t>python,c#</t>
  </si>
  <si>
    <t>java,c++</t>
  </si>
  <si>
    <t>c,java</t>
  </si>
  <si>
    <t>shell,python</t>
  </si>
  <si>
    <t>javascript,python</t>
  </si>
  <si>
    <t>javascript,c#</t>
  </si>
  <si>
    <t>c,python</t>
  </si>
  <si>
    <t>c,c++</t>
  </si>
  <si>
    <t>c,shell</t>
  </si>
  <si>
    <t>java,shell</t>
  </si>
  <si>
    <t>java,php</t>
  </si>
  <si>
    <t>php,python</t>
  </si>
  <si>
    <t>c,c#</t>
  </si>
  <si>
    <t>php,c#</t>
  </si>
  <si>
    <t>c,javascript</t>
  </si>
  <si>
    <t>c,java,c#,c++</t>
  </si>
  <si>
    <t>php,c++</t>
  </si>
  <si>
    <t>javascript,php,c++</t>
  </si>
  <si>
    <t>python,javascript</t>
  </si>
  <si>
    <t>c++,c#</t>
  </si>
  <si>
    <t>c++,python</t>
  </si>
  <si>
    <t>python,java</t>
  </si>
  <si>
    <t>c++,java</t>
  </si>
  <si>
    <t>javascript,c</t>
  </si>
  <si>
    <t>c++,javascript</t>
  </si>
  <si>
    <t>php,java</t>
  </si>
  <si>
    <t>php,c</t>
  </si>
  <si>
    <t>c++,python,java</t>
  </si>
  <si>
    <t>c++,c</t>
  </si>
  <si>
    <t>php,c++,javascript</t>
  </si>
  <si>
    <t>c++,c,java,c#</t>
  </si>
  <si>
    <t>Unnamed: 0</t>
  </si>
  <si>
    <t>accepted</t>
  </si>
  <si>
    <t>Accepted</t>
  </si>
  <si>
    <t>Undetermined</t>
  </si>
  <si>
    <t>Undiscussed</t>
  </si>
  <si>
    <t>https://stackoverflow.com/questions/37453671/can-i-run-a-sql-query-in-frontend-javascript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</si>
</sst>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vewcounts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category!$N$2:$N$9</c:f>
              <c:strCache>
                <c:ptCount val="8"/>
                <c:pt idx="0">
                  <c:v>Interfacing</c:v>
                </c:pt>
                <c:pt idx="1">
                  <c:v>Build</c:v>
                </c:pt>
                <c:pt idx="2">
                  <c:v>Data handling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Security</c:v>
                </c:pt>
                <c:pt idx="6">
                  <c:v>Efficiency/Performance</c:v>
                </c:pt>
                <c:pt idx="7">
                  <c:v>Language choice</c:v>
                </c:pt>
              </c:strCache>
            </c:strRef>
          </c:cat>
          <c:val>
            <c:numRef>
              <c:f>category!$O$2:$O$9</c:f>
              <c:numCache>
                <c:formatCode>General</c:formatCode>
                <c:ptCount val="8"/>
                <c:pt idx="0">
                  <c:v>5923869</c:v>
                </c:pt>
                <c:pt idx="1">
                  <c:v>698278</c:v>
                </c:pt>
                <c:pt idx="2">
                  <c:v>2719121</c:v>
                </c:pt>
                <c:pt idx="3">
                  <c:v>1770204</c:v>
                </c:pt>
                <c:pt idx="4">
                  <c:v>27678</c:v>
                </c:pt>
                <c:pt idx="5">
                  <c:v>42970</c:v>
                </c:pt>
                <c:pt idx="6">
                  <c:v>119466</c:v>
                </c:pt>
                <c:pt idx="7">
                  <c:v>515489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4-482B-9730-A53F67E9D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83999"/>
        <c:axId val="1151949375"/>
      </c:barChart>
      <c:catAx>
        <c:axId val="10714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49375"/>
        <c:crosses val="autoZero"/>
        <c:auto val="1"/>
        <c:lblAlgn val="ctr"/>
        <c:lblOffset val="100"/>
        <c:noMultiLvlLbl val="0"/>
      </c:catAx>
      <c:valAx>
        <c:axId val="11519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839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Distribution of vewcounts by category leaf 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category!$N$21:$N$31</c:f>
              <c:strCache>
                <c:ptCount val="11"/>
                <c:pt idx="0">
                  <c:v>Build</c:v>
                </c:pt>
                <c:pt idx="1">
                  <c:v>Embedding</c:v>
                </c:pt>
                <c:pt idx="2">
                  <c:v>Error/Exception handling</c:v>
                </c:pt>
                <c:pt idx="3">
                  <c:v>Security</c:v>
                </c:pt>
                <c:pt idx="4">
                  <c:v>Efficiency/Performance</c:v>
                </c:pt>
                <c:pt idx="5">
                  <c:v>Language choice</c:v>
                </c:pt>
                <c:pt idx="6">
                  <c:v>Interfacing choice</c:v>
                </c:pt>
                <c:pt idx="7">
                  <c:v>Implicit interfacing</c:v>
                </c:pt>
                <c:pt idx="8">
                  <c:v>Explicit interfacing</c:v>
                </c:pt>
                <c:pt idx="9">
                  <c:v>Interoperability</c:v>
                </c:pt>
                <c:pt idx="10">
                  <c:v>Data format/compatibility</c:v>
                </c:pt>
              </c:strCache>
            </c:strRef>
          </c:cat>
          <c:val>
            <c:numRef>
              <c:f>category!$O$21:$O$31</c:f>
              <c:numCache>
                <c:formatCode>General</c:formatCode>
                <c:ptCount val="11"/>
                <c:pt idx="0">
                  <c:v>698278</c:v>
                </c:pt>
                <c:pt idx="1">
                  <c:v>1770204</c:v>
                </c:pt>
                <c:pt idx="2">
                  <c:v>27678</c:v>
                </c:pt>
                <c:pt idx="3">
                  <c:v>42970</c:v>
                </c:pt>
                <c:pt idx="4">
                  <c:v>119466</c:v>
                </c:pt>
                <c:pt idx="5">
                  <c:v>515489</c:v>
                </c:pt>
                <c:pt idx="6">
                  <c:v>2891439</c:v>
                </c:pt>
                <c:pt idx="7">
                  <c:v>1188071</c:v>
                </c:pt>
                <c:pt idx="8">
                  <c:v>1844359</c:v>
                </c:pt>
                <c:pt idx="9">
                  <c:v>1084760</c:v>
                </c:pt>
                <c:pt idx="10">
                  <c:v>1634361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F-4BE6-AF4E-74752DDA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468575"/>
        <c:axId val="1033468991"/>
      </c:barChart>
      <c:catAx>
        <c:axId val="103346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68991"/>
        <c:crosses val="autoZero"/>
        <c:auto val="1"/>
        <c:lblAlgn val="ctr"/>
        <c:lblOffset val="100"/>
        <c:noMultiLvlLbl val="0"/>
      </c:catAx>
      <c:valAx>
        <c:axId val="10334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685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category!$N$39:$N$46</c:f>
              <c:strCache>
                <c:ptCount val="8"/>
                <c:pt idx="0">
                  <c:v>Interfacing</c:v>
                </c:pt>
                <c:pt idx="1">
                  <c:v>Build</c:v>
                </c:pt>
                <c:pt idx="2">
                  <c:v>Data handling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Security</c:v>
                </c:pt>
                <c:pt idx="6">
                  <c:v>Efficiency/Performance</c:v>
                </c:pt>
                <c:pt idx="7">
                  <c:v>Language choice</c:v>
                </c:pt>
              </c:strCache>
            </c:strRef>
          </c:cat>
          <c:val>
            <c:numRef>
              <c:f>category!$O$39:$O$46</c:f>
              <c:numCache>
                <c:formatCode>General</c:formatCode>
                <c:ptCount val="8"/>
                <c:pt idx="0">
                  <c:v>26684.094594594593</c:v>
                </c:pt>
                <c:pt idx="1">
                  <c:v>7758.6444444444442</c:v>
                </c:pt>
                <c:pt idx="2">
                  <c:v>15627.132183908046</c:v>
                </c:pt>
                <c:pt idx="3">
                  <c:v>37663.914893617024</c:v>
                </c:pt>
                <c:pt idx="4">
                  <c:v>2767.8</c:v>
                </c:pt>
                <c:pt idx="5">
                  <c:v>5371.25</c:v>
                </c:pt>
                <c:pt idx="6">
                  <c:v>8533.2857142857138</c:v>
                </c:pt>
                <c:pt idx="7">
                  <c:v>24547.095238095237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5-48E9-9939-6D05E85A3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692927"/>
        <c:axId val="301688351"/>
      </c:barChart>
      <c:catAx>
        <c:axId val="30169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88351"/>
        <c:crosses val="autoZero"/>
        <c:auto val="1"/>
        <c:lblAlgn val="ctr"/>
        <c:lblOffset val="100"/>
        <c:noMultiLvlLbl val="0"/>
      </c:catAx>
      <c:valAx>
        <c:axId val="30168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929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category!$N$52:$N$62</c:f>
              <c:strCache>
                <c:ptCount val="11"/>
                <c:pt idx="0">
                  <c:v>Build</c:v>
                </c:pt>
                <c:pt idx="1">
                  <c:v>Embedding</c:v>
                </c:pt>
                <c:pt idx="2">
                  <c:v>Error/Exception handling</c:v>
                </c:pt>
                <c:pt idx="3">
                  <c:v>Security</c:v>
                </c:pt>
                <c:pt idx="4">
                  <c:v>Efficiency/Performance</c:v>
                </c:pt>
                <c:pt idx="5">
                  <c:v>Language choice</c:v>
                </c:pt>
                <c:pt idx="6">
                  <c:v>Interfacing choice</c:v>
                </c:pt>
                <c:pt idx="7">
                  <c:v>Implicit interfacing</c:v>
                </c:pt>
                <c:pt idx="8">
                  <c:v>Explicit interfacing</c:v>
                </c:pt>
                <c:pt idx="9">
                  <c:v>Interoperability</c:v>
                </c:pt>
                <c:pt idx="10">
                  <c:v>Data format/compatibility</c:v>
                </c:pt>
              </c:strCache>
            </c:strRef>
          </c:cat>
          <c:val>
            <c:numRef>
              <c:f>category!$O$52:$O$62</c:f>
              <c:numCache>
                <c:formatCode>General</c:formatCode>
                <c:ptCount val="11"/>
                <c:pt idx="0">
                  <c:v>7758.6444444444442</c:v>
                </c:pt>
                <c:pt idx="1">
                  <c:v>37663.914893617024</c:v>
                </c:pt>
                <c:pt idx="2">
                  <c:v>2767.8</c:v>
                </c:pt>
                <c:pt idx="3">
                  <c:v>5371.25</c:v>
                </c:pt>
                <c:pt idx="4">
                  <c:v>8533.2857142857138</c:v>
                </c:pt>
                <c:pt idx="5">
                  <c:v>24547.095238095237</c:v>
                </c:pt>
                <c:pt idx="6">
                  <c:v>33621.383720930229</c:v>
                </c:pt>
                <c:pt idx="7">
                  <c:v>20136.796610169491</c:v>
                </c:pt>
                <c:pt idx="8">
                  <c:v>23645.628205128207</c:v>
                </c:pt>
                <c:pt idx="9">
                  <c:v>12613.488372093023</c:v>
                </c:pt>
                <c:pt idx="10">
                  <c:v>18572.284090909092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7-41A7-9427-60357EF2C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16623"/>
        <c:axId val="484117455"/>
      </c:barChart>
      <c:catAx>
        <c:axId val="4841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7455"/>
        <c:crosses val="autoZero"/>
        <c:auto val="1"/>
        <c:lblAlgn val="ctr"/>
        <c:lblOffset val="100"/>
        <c:noMultiLvlLbl val="0"/>
      </c:catAx>
      <c:valAx>
        <c:axId val="4841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662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([1]view_counts!$A$15:$B$17,[1]view_counts!$A$36:$B$38,[1]view_counts!$A$43:$B$45,[1]view_counts!$A$47:$B$49,[1]view_counts!$A$54:$B$56,[1]view_counts!$A$77:$B$79,[1]view_counts!$A$86:$B$88,[1]view_counts!$A$90:$B$92)</c:f>
              <c:multiLvlStrCache>
                <c:ptCount val="24"/>
                <c:lvl>
                  <c:pt idx="0">
                    <c:v>python,c++</c:v>
                  </c:pt>
                  <c:pt idx="1">
                    <c:v>c#,c++</c:v>
                  </c:pt>
                  <c:pt idx="2">
                    <c:v>javascript,php</c:v>
                  </c:pt>
                  <c:pt idx="3">
                    <c:v>javascript,python</c:v>
                  </c:pt>
                  <c:pt idx="4">
                    <c:v>javascript,c#</c:v>
                  </c:pt>
                  <c:pt idx="5">
                    <c:v>javascript,php</c:v>
                  </c:pt>
                  <c:pt idx="6">
                    <c:v>java,c++</c:v>
                  </c:pt>
                  <c:pt idx="7">
                    <c:v>javascript,php</c:v>
                  </c:pt>
                  <c:pt idx="8">
                    <c:v>javascript,python</c:v>
                  </c:pt>
                  <c:pt idx="9">
                    <c:v>java,javascript</c:v>
                  </c:pt>
                  <c:pt idx="10">
                    <c:v>javascript,c#</c:v>
                  </c:pt>
                  <c:pt idx="11">
                    <c:v>javascript,php</c:v>
                  </c:pt>
                  <c:pt idx="12">
                    <c:v>java,javascript</c:v>
                  </c:pt>
                  <c:pt idx="13">
                    <c:v>python,c++</c:v>
                  </c:pt>
                  <c:pt idx="14">
                    <c:v>c,python</c:v>
                  </c:pt>
                  <c:pt idx="15">
                    <c:v>javascript,c#</c:v>
                  </c:pt>
                  <c:pt idx="16">
                    <c:v>shell,python</c:v>
                  </c:pt>
                  <c:pt idx="17">
                    <c:v>javascript,php</c:v>
                  </c:pt>
                  <c:pt idx="18">
                    <c:v>javascript,c#</c:v>
                  </c:pt>
                  <c:pt idx="19">
                    <c:v>javascript,python</c:v>
                  </c:pt>
                  <c:pt idx="20">
                    <c:v>javascript,php</c:v>
                  </c:pt>
                  <c:pt idx="21">
                    <c:v>javascript,php</c:v>
                  </c:pt>
                  <c:pt idx="22">
                    <c:v>javascript,c#</c:v>
                  </c:pt>
                  <c:pt idx="23">
                    <c:v>java,javascript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([1]view_counts!$C$15:$C$17,[1]view_counts!$C$36:$C$38,[1]view_counts!$C$43:$C$45,[1]view_counts!$C$47:$C$49,[1]view_counts!$C$54:$C$56,[1]view_counts!$C$77:$C$79,[1]view_counts!$C$86:$C$88,[1]view_counts!$C$90:$C$92)</c:f>
              <c:numCache>
                <c:formatCode>General</c:formatCode>
                <c:ptCount val="24"/>
                <c:pt idx="0">
                  <c:v>108826</c:v>
                </c:pt>
                <c:pt idx="1">
                  <c:v>124472</c:v>
                </c:pt>
                <c:pt idx="2">
                  <c:v>180762</c:v>
                </c:pt>
                <c:pt idx="3">
                  <c:v>309019</c:v>
                </c:pt>
                <c:pt idx="4">
                  <c:v>390214</c:v>
                </c:pt>
                <c:pt idx="5">
                  <c:v>945469</c:v>
                </c:pt>
                <c:pt idx="6">
                  <c:v>12316</c:v>
                </c:pt>
                <c:pt idx="7">
                  <c:v>36752</c:v>
                </c:pt>
                <c:pt idx="8">
                  <c:v>57404</c:v>
                </c:pt>
                <c:pt idx="9">
                  <c:v>151420</c:v>
                </c:pt>
                <c:pt idx="10">
                  <c:v>464378</c:v>
                </c:pt>
                <c:pt idx="11">
                  <c:v>1150107</c:v>
                </c:pt>
                <c:pt idx="12">
                  <c:v>6256</c:v>
                </c:pt>
                <c:pt idx="13">
                  <c:v>6853</c:v>
                </c:pt>
                <c:pt idx="14">
                  <c:v>9958</c:v>
                </c:pt>
                <c:pt idx="15">
                  <c:v>584460</c:v>
                </c:pt>
                <c:pt idx="16">
                  <c:v>1066588</c:v>
                </c:pt>
                <c:pt idx="17">
                  <c:v>1620167</c:v>
                </c:pt>
                <c:pt idx="18">
                  <c:v>50420</c:v>
                </c:pt>
                <c:pt idx="19">
                  <c:v>62046</c:v>
                </c:pt>
                <c:pt idx="20">
                  <c:v>371443</c:v>
                </c:pt>
                <c:pt idx="21">
                  <c:v>4905</c:v>
                </c:pt>
                <c:pt idx="22">
                  <c:v>10014</c:v>
                </c:pt>
                <c:pt idx="23">
                  <c:v>25971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D-48B9-9524-30A990FC7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663360"/>
        <c:axId val="1075662112"/>
      </c:barChart>
      <c:catAx>
        <c:axId val="107566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62112"/>
        <c:crosses val="autoZero"/>
        <c:auto val="1"/>
        <c:lblAlgn val="ctr"/>
        <c:lblOffset val="100"/>
        <c:noMultiLvlLbl val="0"/>
      </c:catAx>
      <c:valAx>
        <c:axId val="10756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6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view counts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[2]view_counts!$A$1:$A$28</c:f>
              <c:strCache>
                <c:ptCount val="28"/>
                <c:pt idx="0">
                  <c:v>php,javascript</c:v>
                </c:pt>
                <c:pt idx="1">
                  <c:v>javascript,c#</c:v>
                </c:pt>
                <c:pt idx="2">
                  <c:v>python,shell</c:v>
                </c:pt>
                <c:pt idx="3">
                  <c:v>javascript,java</c:v>
                </c:pt>
                <c:pt idx="4">
                  <c:v>python,javascript</c:v>
                </c:pt>
                <c:pt idx="5">
                  <c:v>c++,c#</c:v>
                </c:pt>
                <c:pt idx="6">
                  <c:v>c++,python</c:v>
                </c:pt>
                <c:pt idx="7">
                  <c:v>php,shell</c:v>
                </c:pt>
                <c:pt idx="8">
                  <c:v>python,c</c:v>
                </c:pt>
                <c:pt idx="9">
                  <c:v>python,java</c:v>
                </c:pt>
                <c:pt idx="10">
                  <c:v>c++,java</c:v>
                </c:pt>
                <c:pt idx="11">
                  <c:v>java,shell</c:v>
                </c:pt>
                <c:pt idx="12">
                  <c:v>php,python</c:v>
                </c:pt>
                <c:pt idx="13">
                  <c:v>python,c#</c:v>
                </c:pt>
                <c:pt idx="14">
                  <c:v>c,java</c:v>
                </c:pt>
                <c:pt idx="15">
                  <c:v>c,c#</c:v>
                </c:pt>
                <c:pt idx="16">
                  <c:v>php,c#</c:v>
                </c:pt>
                <c:pt idx="17">
                  <c:v>java,c#</c:v>
                </c:pt>
                <c:pt idx="18">
                  <c:v>javascript,c</c:v>
                </c:pt>
                <c:pt idx="19">
                  <c:v>c++,javascript</c:v>
                </c:pt>
                <c:pt idx="20">
                  <c:v>c,shell</c:v>
                </c:pt>
                <c:pt idx="21">
                  <c:v>php,java</c:v>
                </c:pt>
                <c:pt idx="22">
                  <c:v>php,c</c:v>
                </c:pt>
                <c:pt idx="23">
                  <c:v>c++,python,java</c:v>
                </c:pt>
                <c:pt idx="24">
                  <c:v>php,c++</c:v>
                </c:pt>
                <c:pt idx="25">
                  <c:v>c++,c</c:v>
                </c:pt>
                <c:pt idx="26">
                  <c:v>php,c++,javascript</c:v>
                </c:pt>
                <c:pt idx="27">
                  <c:v>c++,c,java,c#</c:v>
                </c:pt>
              </c:strCache>
            </c:strRef>
          </c:cat>
          <c:val>
            <c:numRef>
              <c:f>[2]view_counts!$B$1:$B$28</c:f>
              <c:numCache>
                <c:formatCode>General</c:formatCode>
                <c:ptCount val="28"/>
                <c:pt idx="0">
                  <c:v>4310347</c:v>
                </c:pt>
                <c:pt idx="1">
                  <c:v>1535219</c:v>
                </c:pt>
                <c:pt idx="2">
                  <c:v>1233693</c:v>
                </c:pt>
                <c:pt idx="3">
                  <c:v>849883</c:v>
                </c:pt>
                <c:pt idx="4">
                  <c:v>815987</c:v>
                </c:pt>
                <c:pt idx="5">
                  <c:v>747888</c:v>
                </c:pt>
                <c:pt idx="6">
                  <c:v>470896</c:v>
                </c:pt>
                <c:pt idx="7">
                  <c:v>465847</c:v>
                </c:pt>
                <c:pt idx="8">
                  <c:v>366689</c:v>
                </c:pt>
                <c:pt idx="9">
                  <c:v>186251</c:v>
                </c:pt>
                <c:pt idx="10">
                  <c:v>181386</c:v>
                </c:pt>
                <c:pt idx="11">
                  <c:v>173198</c:v>
                </c:pt>
                <c:pt idx="12">
                  <c:v>115139</c:v>
                </c:pt>
                <c:pt idx="13">
                  <c:v>98408</c:v>
                </c:pt>
                <c:pt idx="14">
                  <c:v>93389</c:v>
                </c:pt>
                <c:pt idx="15">
                  <c:v>59806</c:v>
                </c:pt>
                <c:pt idx="16">
                  <c:v>56692</c:v>
                </c:pt>
                <c:pt idx="17">
                  <c:v>31916</c:v>
                </c:pt>
                <c:pt idx="18">
                  <c:v>29633</c:v>
                </c:pt>
                <c:pt idx="19">
                  <c:v>28397</c:v>
                </c:pt>
                <c:pt idx="20">
                  <c:v>27997</c:v>
                </c:pt>
                <c:pt idx="21">
                  <c:v>19182</c:v>
                </c:pt>
                <c:pt idx="22">
                  <c:v>7835</c:v>
                </c:pt>
                <c:pt idx="23">
                  <c:v>2665</c:v>
                </c:pt>
                <c:pt idx="24">
                  <c:v>1005</c:v>
                </c:pt>
                <c:pt idx="25">
                  <c:v>874</c:v>
                </c:pt>
                <c:pt idx="26">
                  <c:v>530</c:v>
                </c:pt>
                <c:pt idx="27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4-42FE-9317-64CA6DD4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160687"/>
        <c:axId val="537154863"/>
      </c:barChart>
      <c:catAx>
        <c:axId val="5371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54863"/>
        <c:crosses val="autoZero"/>
        <c:auto val="1"/>
        <c:lblAlgn val="ctr"/>
        <c:lblOffset val="100"/>
        <c:noMultiLvlLbl val="0"/>
      </c:catAx>
      <c:valAx>
        <c:axId val="5371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606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[3]newdata!$M$4:$M$16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[3]newdata!$N$4:$N$16</c:f>
              <c:numCache>
                <c:formatCode>General</c:formatCode>
                <c:ptCount val="13"/>
                <c:pt idx="0">
                  <c:v>16945.714285714286</c:v>
                </c:pt>
                <c:pt idx="1">
                  <c:v>43330.969696969696</c:v>
                </c:pt>
                <c:pt idx="2">
                  <c:v>24200.273972602739</c:v>
                </c:pt>
                <c:pt idx="3">
                  <c:v>23719.371794871793</c:v>
                </c:pt>
                <c:pt idx="4">
                  <c:v>24866.602941176472</c:v>
                </c:pt>
                <c:pt idx="5">
                  <c:v>30680.25</c:v>
                </c:pt>
                <c:pt idx="6">
                  <c:v>15057.102040816326</c:v>
                </c:pt>
                <c:pt idx="7">
                  <c:v>14139.556962025317</c:v>
                </c:pt>
                <c:pt idx="8">
                  <c:v>6514</c:v>
                </c:pt>
                <c:pt idx="9">
                  <c:v>10572.457142857143</c:v>
                </c:pt>
                <c:pt idx="10">
                  <c:v>7694.727272727273</c:v>
                </c:pt>
                <c:pt idx="11">
                  <c:v>1878.1428571428571</c:v>
                </c:pt>
                <c:pt idx="12">
                  <c:v>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2-487D-989D-AE5B640EE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72256"/>
        <c:axId val="274430224"/>
      </c:barChart>
      <c:catAx>
        <c:axId val="428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30224"/>
        <c:crosses val="autoZero"/>
        <c:auto val="1"/>
        <c:lblAlgn val="ctr"/>
        <c:lblOffset val="100"/>
        <c:noMultiLvlLbl val="0"/>
      </c:catAx>
      <c:valAx>
        <c:axId val="2744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7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[3]newdata!$M$4:$M$16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[3]newdata!$AA$4:$AA$16</c:f>
              <c:numCache>
                <c:formatCode>General</c:formatCode>
                <c:ptCount val="13"/>
                <c:pt idx="0">
                  <c:v>118620</c:v>
                </c:pt>
                <c:pt idx="1">
                  <c:v>1429922</c:v>
                </c:pt>
                <c:pt idx="2">
                  <c:v>1766620</c:v>
                </c:pt>
                <c:pt idx="3">
                  <c:v>1850111</c:v>
                </c:pt>
                <c:pt idx="4">
                  <c:v>1690929</c:v>
                </c:pt>
                <c:pt idx="5">
                  <c:v>2208978</c:v>
                </c:pt>
                <c:pt idx="6">
                  <c:v>737798</c:v>
                </c:pt>
                <c:pt idx="7">
                  <c:v>1117025</c:v>
                </c:pt>
                <c:pt idx="8">
                  <c:v>299644</c:v>
                </c:pt>
                <c:pt idx="9">
                  <c:v>370036</c:v>
                </c:pt>
                <c:pt idx="10">
                  <c:v>169284</c:v>
                </c:pt>
                <c:pt idx="11">
                  <c:v>26294</c:v>
                </c:pt>
                <c:pt idx="12">
                  <c:v>15155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D-4A5F-965E-016FCFB0B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072192"/>
        <c:axId val="273072608"/>
      </c:barChart>
      <c:catAx>
        <c:axId val="2730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72608"/>
        <c:crosses val="autoZero"/>
        <c:auto val="1"/>
        <c:lblAlgn val="ctr"/>
        <c:lblOffset val="100"/>
        <c:noMultiLvlLbl val="0"/>
      </c:catAx>
      <c:valAx>
        <c:axId val="2730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7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[4]viewed_counts!$B$1</c:f>
              <c:strCache>
                <c:ptCount val="1"/>
                <c:pt idx="0">
                  <c:v>viewed_counts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[4]viewed_counts!$B$2:$B$587</c:f>
              <c:numCache>
                <c:formatCode>General</c:formatCode>
                <c:ptCount val="586"/>
                <c:pt idx="0">
                  <c:v>469</c:v>
                </c:pt>
                <c:pt idx="1">
                  <c:v>648155</c:v>
                </c:pt>
                <c:pt idx="2">
                  <c:v>416</c:v>
                </c:pt>
                <c:pt idx="3">
                  <c:v>6245</c:v>
                </c:pt>
                <c:pt idx="4">
                  <c:v>2696</c:v>
                </c:pt>
                <c:pt idx="5">
                  <c:v>45640</c:v>
                </c:pt>
                <c:pt idx="6">
                  <c:v>135324</c:v>
                </c:pt>
                <c:pt idx="7">
                  <c:v>2472</c:v>
                </c:pt>
                <c:pt idx="8">
                  <c:v>2383</c:v>
                </c:pt>
                <c:pt idx="9">
                  <c:v>50834</c:v>
                </c:pt>
                <c:pt idx="10">
                  <c:v>9573</c:v>
                </c:pt>
                <c:pt idx="11">
                  <c:v>924</c:v>
                </c:pt>
                <c:pt idx="12">
                  <c:v>3338</c:v>
                </c:pt>
                <c:pt idx="13">
                  <c:v>641</c:v>
                </c:pt>
                <c:pt idx="14">
                  <c:v>4422</c:v>
                </c:pt>
                <c:pt idx="15">
                  <c:v>2376</c:v>
                </c:pt>
                <c:pt idx="16">
                  <c:v>2165</c:v>
                </c:pt>
                <c:pt idx="17">
                  <c:v>3941</c:v>
                </c:pt>
                <c:pt idx="18">
                  <c:v>1329</c:v>
                </c:pt>
                <c:pt idx="19">
                  <c:v>6780</c:v>
                </c:pt>
                <c:pt idx="20">
                  <c:v>5723</c:v>
                </c:pt>
                <c:pt idx="21">
                  <c:v>32214</c:v>
                </c:pt>
                <c:pt idx="22">
                  <c:v>944</c:v>
                </c:pt>
                <c:pt idx="23">
                  <c:v>1323</c:v>
                </c:pt>
                <c:pt idx="24">
                  <c:v>130090</c:v>
                </c:pt>
                <c:pt idx="25">
                  <c:v>2130</c:v>
                </c:pt>
                <c:pt idx="26">
                  <c:v>2658</c:v>
                </c:pt>
                <c:pt idx="27">
                  <c:v>10736</c:v>
                </c:pt>
                <c:pt idx="28">
                  <c:v>1876</c:v>
                </c:pt>
                <c:pt idx="29">
                  <c:v>892</c:v>
                </c:pt>
                <c:pt idx="30">
                  <c:v>13939</c:v>
                </c:pt>
                <c:pt idx="31">
                  <c:v>17615</c:v>
                </c:pt>
                <c:pt idx="32">
                  <c:v>1552</c:v>
                </c:pt>
                <c:pt idx="33">
                  <c:v>4696</c:v>
                </c:pt>
                <c:pt idx="34">
                  <c:v>13379</c:v>
                </c:pt>
                <c:pt idx="35">
                  <c:v>2402</c:v>
                </c:pt>
                <c:pt idx="36">
                  <c:v>4532</c:v>
                </c:pt>
                <c:pt idx="37">
                  <c:v>12418</c:v>
                </c:pt>
                <c:pt idx="38">
                  <c:v>797</c:v>
                </c:pt>
                <c:pt idx="39">
                  <c:v>667</c:v>
                </c:pt>
                <c:pt idx="40">
                  <c:v>294</c:v>
                </c:pt>
                <c:pt idx="41">
                  <c:v>530</c:v>
                </c:pt>
                <c:pt idx="42">
                  <c:v>5673</c:v>
                </c:pt>
                <c:pt idx="43">
                  <c:v>1018</c:v>
                </c:pt>
                <c:pt idx="44">
                  <c:v>18106</c:v>
                </c:pt>
                <c:pt idx="45">
                  <c:v>1460</c:v>
                </c:pt>
                <c:pt idx="46">
                  <c:v>1687</c:v>
                </c:pt>
                <c:pt idx="47">
                  <c:v>8476</c:v>
                </c:pt>
                <c:pt idx="48">
                  <c:v>11682</c:v>
                </c:pt>
                <c:pt idx="49">
                  <c:v>6445</c:v>
                </c:pt>
                <c:pt idx="50">
                  <c:v>65739</c:v>
                </c:pt>
                <c:pt idx="51">
                  <c:v>2763</c:v>
                </c:pt>
                <c:pt idx="52">
                  <c:v>1176</c:v>
                </c:pt>
                <c:pt idx="53">
                  <c:v>6247</c:v>
                </c:pt>
                <c:pt idx="54">
                  <c:v>6246</c:v>
                </c:pt>
                <c:pt idx="55">
                  <c:v>6988</c:v>
                </c:pt>
                <c:pt idx="56">
                  <c:v>10943</c:v>
                </c:pt>
                <c:pt idx="57">
                  <c:v>52788</c:v>
                </c:pt>
                <c:pt idx="58">
                  <c:v>1433</c:v>
                </c:pt>
                <c:pt idx="59">
                  <c:v>3237</c:v>
                </c:pt>
                <c:pt idx="60">
                  <c:v>2659</c:v>
                </c:pt>
                <c:pt idx="61">
                  <c:v>4468</c:v>
                </c:pt>
                <c:pt idx="62">
                  <c:v>17600</c:v>
                </c:pt>
                <c:pt idx="63">
                  <c:v>10653</c:v>
                </c:pt>
                <c:pt idx="64">
                  <c:v>107712</c:v>
                </c:pt>
                <c:pt idx="65">
                  <c:v>12699</c:v>
                </c:pt>
                <c:pt idx="66">
                  <c:v>13389</c:v>
                </c:pt>
                <c:pt idx="67">
                  <c:v>4016</c:v>
                </c:pt>
                <c:pt idx="68">
                  <c:v>14072</c:v>
                </c:pt>
                <c:pt idx="69">
                  <c:v>799</c:v>
                </c:pt>
                <c:pt idx="70">
                  <c:v>19349</c:v>
                </c:pt>
                <c:pt idx="71">
                  <c:v>905</c:v>
                </c:pt>
                <c:pt idx="72">
                  <c:v>268465</c:v>
                </c:pt>
                <c:pt idx="73">
                  <c:v>12545</c:v>
                </c:pt>
                <c:pt idx="74">
                  <c:v>32744</c:v>
                </c:pt>
                <c:pt idx="75">
                  <c:v>865</c:v>
                </c:pt>
                <c:pt idx="76">
                  <c:v>789</c:v>
                </c:pt>
                <c:pt idx="77">
                  <c:v>7276</c:v>
                </c:pt>
                <c:pt idx="78">
                  <c:v>1536</c:v>
                </c:pt>
                <c:pt idx="79">
                  <c:v>81355</c:v>
                </c:pt>
                <c:pt idx="80">
                  <c:v>2074</c:v>
                </c:pt>
                <c:pt idx="81">
                  <c:v>23885</c:v>
                </c:pt>
                <c:pt idx="82">
                  <c:v>6302</c:v>
                </c:pt>
                <c:pt idx="83">
                  <c:v>3537</c:v>
                </c:pt>
                <c:pt idx="84">
                  <c:v>79517</c:v>
                </c:pt>
                <c:pt idx="85">
                  <c:v>2741</c:v>
                </c:pt>
                <c:pt idx="86">
                  <c:v>5564</c:v>
                </c:pt>
                <c:pt idx="87">
                  <c:v>4332</c:v>
                </c:pt>
                <c:pt idx="88">
                  <c:v>2505</c:v>
                </c:pt>
                <c:pt idx="89">
                  <c:v>7397</c:v>
                </c:pt>
                <c:pt idx="90">
                  <c:v>9744</c:v>
                </c:pt>
                <c:pt idx="91">
                  <c:v>270</c:v>
                </c:pt>
                <c:pt idx="92">
                  <c:v>137005</c:v>
                </c:pt>
                <c:pt idx="93">
                  <c:v>2552</c:v>
                </c:pt>
                <c:pt idx="94">
                  <c:v>4546</c:v>
                </c:pt>
                <c:pt idx="95">
                  <c:v>2470</c:v>
                </c:pt>
                <c:pt idx="96">
                  <c:v>431</c:v>
                </c:pt>
                <c:pt idx="97">
                  <c:v>6237</c:v>
                </c:pt>
                <c:pt idx="98">
                  <c:v>45094</c:v>
                </c:pt>
                <c:pt idx="99">
                  <c:v>7857</c:v>
                </c:pt>
                <c:pt idx="100">
                  <c:v>5737</c:v>
                </c:pt>
                <c:pt idx="101">
                  <c:v>3002</c:v>
                </c:pt>
                <c:pt idx="102">
                  <c:v>20832</c:v>
                </c:pt>
                <c:pt idx="103">
                  <c:v>1375</c:v>
                </c:pt>
                <c:pt idx="104">
                  <c:v>9102</c:v>
                </c:pt>
                <c:pt idx="105">
                  <c:v>67679</c:v>
                </c:pt>
                <c:pt idx="106">
                  <c:v>3655</c:v>
                </c:pt>
                <c:pt idx="107">
                  <c:v>3926</c:v>
                </c:pt>
                <c:pt idx="108">
                  <c:v>506</c:v>
                </c:pt>
                <c:pt idx="109">
                  <c:v>10860</c:v>
                </c:pt>
                <c:pt idx="110">
                  <c:v>6263</c:v>
                </c:pt>
                <c:pt idx="111">
                  <c:v>3921</c:v>
                </c:pt>
                <c:pt idx="112">
                  <c:v>1686</c:v>
                </c:pt>
                <c:pt idx="113">
                  <c:v>14705</c:v>
                </c:pt>
                <c:pt idx="114">
                  <c:v>944</c:v>
                </c:pt>
                <c:pt idx="115">
                  <c:v>8410</c:v>
                </c:pt>
                <c:pt idx="116">
                  <c:v>1921</c:v>
                </c:pt>
                <c:pt idx="117">
                  <c:v>472</c:v>
                </c:pt>
                <c:pt idx="118">
                  <c:v>3937</c:v>
                </c:pt>
                <c:pt idx="119">
                  <c:v>3099</c:v>
                </c:pt>
                <c:pt idx="120">
                  <c:v>258</c:v>
                </c:pt>
                <c:pt idx="121">
                  <c:v>3642</c:v>
                </c:pt>
                <c:pt idx="122">
                  <c:v>43889</c:v>
                </c:pt>
                <c:pt idx="123">
                  <c:v>891</c:v>
                </c:pt>
                <c:pt idx="124">
                  <c:v>45254</c:v>
                </c:pt>
                <c:pt idx="125">
                  <c:v>1422</c:v>
                </c:pt>
                <c:pt idx="126">
                  <c:v>1167</c:v>
                </c:pt>
                <c:pt idx="127">
                  <c:v>5212</c:v>
                </c:pt>
                <c:pt idx="128">
                  <c:v>6608</c:v>
                </c:pt>
                <c:pt idx="129">
                  <c:v>14686</c:v>
                </c:pt>
                <c:pt idx="130">
                  <c:v>26502</c:v>
                </c:pt>
                <c:pt idx="131">
                  <c:v>28687</c:v>
                </c:pt>
                <c:pt idx="132">
                  <c:v>13299</c:v>
                </c:pt>
                <c:pt idx="133">
                  <c:v>798</c:v>
                </c:pt>
                <c:pt idx="134">
                  <c:v>41492</c:v>
                </c:pt>
                <c:pt idx="135">
                  <c:v>29925</c:v>
                </c:pt>
                <c:pt idx="136">
                  <c:v>2761</c:v>
                </c:pt>
                <c:pt idx="137">
                  <c:v>2308</c:v>
                </c:pt>
                <c:pt idx="138">
                  <c:v>1129</c:v>
                </c:pt>
                <c:pt idx="139">
                  <c:v>1516</c:v>
                </c:pt>
                <c:pt idx="140">
                  <c:v>3285</c:v>
                </c:pt>
                <c:pt idx="141">
                  <c:v>35251</c:v>
                </c:pt>
                <c:pt idx="142">
                  <c:v>359</c:v>
                </c:pt>
                <c:pt idx="143">
                  <c:v>1974</c:v>
                </c:pt>
                <c:pt idx="144">
                  <c:v>19393</c:v>
                </c:pt>
                <c:pt idx="145">
                  <c:v>681</c:v>
                </c:pt>
                <c:pt idx="146">
                  <c:v>5507</c:v>
                </c:pt>
                <c:pt idx="147">
                  <c:v>4834</c:v>
                </c:pt>
                <c:pt idx="148">
                  <c:v>11415</c:v>
                </c:pt>
                <c:pt idx="149">
                  <c:v>12057</c:v>
                </c:pt>
                <c:pt idx="150">
                  <c:v>22738</c:v>
                </c:pt>
                <c:pt idx="151">
                  <c:v>4100</c:v>
                </c:pt>
                <c:pt idx="152">
                  <c:v>1309</c:v>
                </c:pt>
                <c:pt idx="153">
                  <c:v>3268</c:v>
                </c:pt>
                <c:pt idx="154">
                  <c:v>7028</c:v>
                </c:pt>
                <c:pt idx="155">
                  <c:v>17452</c:v>
                </c:pt>
                <c:pt idx="156">
                  <c:v>2985</c:v>
                </c:pt>
                <c:pt idx="157">
                  <c:v>4850</c:v>
                </c:pt>
                <c:pt idx="158">
                  <c:v>1257</c:v>
                </c:pt>
                <c:pt idx="159">
                  <c:v>2665</c:v>
                </c:pt>
                <c:pt idx="160">
                  <c:v>15403</c:v>
                </c:pt>
                <c:pt idx="161">
                  <c:v>1065</c:v>
                </c:pt>
                <c:pt idx="162">
                  <c:v>14098</c:v>
                </c:pt>
                <c:pt idx="163">
                  <c:v>357</c:v>
                </c:pt>
                <c:pt idx="164">
                  <c:v>948</c:v>
                </c:pt>
                <c:pt idx="165">
                  <c:v>3983</c:v>
                </c:pt>
                <c:pt idx="166">
                  <c:v>3101</c:v>
                </c:pt>
                <c:pt idx="167">
                  <c:v>753</c:v>
                </c:pt>
                <c:pt idx="168">
                  <c:v>667</c:v>
                </c:pt>
                <c:pt idx="169">
                  <c:v>2502</c:v>
                </c:pt>
                <c:pt idx="170">
                  <c:v>4923</c:v>
                </c:pt>
                <c:pt idx="171">
                  <c:v>23467</c:v>
                </c:pt>
                <c:pt idx="172">
                  <c:v>5133</c:v>
                </c:pt>
                <c:pt idx="173">
                  <c:v>11153</c:v>
                </c:pt>
                <c:pt idx="174">
                  <c:v>3144</c:v>
                </c:pt>
                <c:pt idx="175">
                  <c:v>1009</c:v>
                </c:pt>
                <c:pt idx="176">
                  <c:v>3235</c:v>
                </c:pt>
                <c:pt idx="177">
                  <c:v>144</c:v>
                </c:pt>
                <c:pt idx="178">
                  <c:v>2425</c:v>
                </c:pt>
                <c:pt idx="179">
                  <c:v>2709</c:v>
                </c:pt>
                <c:pt idx="180">
                  <c:v>14130</c:v>
                </c:pt>
                <c:pt idx="181">
                  <c:v>53974</c:v>
                </c:pt>
                <c:pt idx="182">
                  <c:v>128558</c:v>
                </c:pt>
                <c:pt idx="183">
                  <c:v>5559</c:v>
                </c:pt>
                <c:pt idx="184">
                  <c:v>28876</c:v>
                </c:pt>
                <c:pt idx="185">
                  <c:v>110849</c:v>
                </c:pt>
                <c:pt idx="186">
                  <c:v>3324</c:v>
                </c:pt>
                <c:pt idx="187">
                  <c:v>135</c:v>
                </c:pt>
                <c:pt idx="188">
                  <c:v>11745</c:v>
                </c:pt>
                <c:pt idx="189">
                  <c:v>44462</c:v>
                </c:pt>
                <c:pt idx="190">
                  <c:v>6913</c:v>
                </c:pt>
                <c:pt idx="191">
                  <c:v>3781</c:v>
                </c:pt>
                <c:pt idx="192">
                  <c:v>13722</c:v>
                </c:pt>
                <c:pt idx="193">
                  <c:v>18827</c:v>
                </c:pt>
                <c:pt idx="194">
                  <c:v>3296</c:v>
                </c:pt>
                <c:pt idx="195">
                  <c:v>25303</c:v>
                </c:pt>
                <c:pt idx="196">
                  <c:v>114</c:v>
                </c:pt>
                <c:pt idx="197">
                  <c:v>19044</c:v>
                </c:pt>
                <c:pt idx="198">
                  <c:v>31307</c:v>
                </c:pt>
                <c:pt idx="199">
                  <c:v>3572</c:v>
                </c:pt>
                <c:pt idx="200">
                  <c:v>3585</c:v>
                </c:pt>
                <c:pt idx="201">
                  <c:v>7995</c:v>
                </c:pt>
                <c:pt idx="202">
                  <c:v>2453</c:v>
                </c:pt>
                <c:pt idx="203">
                  <c:v>14520</c:v>
                </c:pt>
                <c:pt idx="204">
                  <c:v>2574</c:v>
                </c:pt>
                <c:pt idx="205">
                  <c:v>19304</c:v>
                </c:pt>
                <c:pt idx="206">
                  <c:v>800</c:v>
                </c:pt>
                <c:pt idx="207">
                  <c:v>12051</c:v>
                </c:pt>
                <c:pt idx="208">
                  <c:v>6629</c:v>
                </c:pt>
                <c:pt idx="209">
                  <c:v>6283</c:v>
                </c:pt>
                <c:pt idx="210">
                  <c:v>5726</c:v>
                </c:pt>
                <c:pt idx="211">
                  <c:v>2333</c:v>
                </c:pt>
                <c:pt idx="212">
                  <c:v>36103</c:v>
                </c:pt>
                <c:pt idx="213">
                  <c:v>9407</c:v>
                </c:pt>
                <c:pt idx="214">
                  <c:v>16977</c:v>
                </c:pt>
                <c:pt idx="215">
                  <c:v>30979</c:v>
                </c:pt>
                <c:pt idx="216">
                  <c:v>3363</c:v>
                </c:pt>
                <c:pt idx="217">
                  <c:v>10522</c:v>
                </c:pt>
                <c:pt idx="218">
                  <c:v>13242</c:v>
                </c:pt>
                <c:pt idx="219">
                  <c:v>12964</c:v>
                </c:pt>
                <c:pt idx="220">
                  <c:v>23085</c:v>
                </c:pt>
                <c:pt idx="221">
                  <c:v>887</c:v>
                </c:pt>
                <c:pt idx="222">
                  <c:v>16846</c:v>
                </c:pt>
                <c:pt idx="223">
                  <c:v>3404</c:v>
                </c:pt>
                <c:pt idx="224">
                  <c:v>1158</c:v>
                </c:pt>
                <c:pt idx="225">
                  <c:v>39238</c:v>
                </c:pt>
                <c:pt idx="226">
                  <c:v>8202</c:v>
                </c:pt>
                <c:pt idx="227">
                  <c:v>15562</c:v>
                </c:pt>
                <c:pt idx="228">
                  <c:v>6574</c:v>
                </c:pt>
                <c:pt idx="229">
                  <c:v>32278</c:v>
                </c:pt>
                <c:pt idx="230">
                  <c:v>9139</c:v>
                </c:pt>
                <c:pt idx="231">
                  <c:v>79882</c:v>
                </c:pt>
                <c:pt idx="232">
                  <c:v>10319</c:v>
                </c:pt>
                <c:pt idx="233">
                  <c:v>5357</c:v>
                </c:pt>
                <c:pt idx="234">
                  <c:v>3028</c:v>
                </c:pt>
                <c:pt idx="235">
                  <c:v>4931</c:v>
                </c:pt>
                <c:pt idx="236">
                  <c:v>6671</c:v>
                </c:pt>
                <c:pt idx="237">
                  <c:v>2625</c:v>
                </c:pt>
                <c:pt idx="238">
                  <c:v>1669</c:v>
                </c:pt>
                <c:pt idx="239">
                  <c:v>2904</c:v>
                </c:pt>
                <c:pt idx="240">
                  <c:v>496</c:v>
                </c:pt>
                <c:pt idx="241">
                  <c:v>14768</c:v>
                </c:pt>
                <c:pt idx="242">
                  <c:v>16982</c:v>
                </c:pt>
                <c:pt idx="243">
                  <c:v>3589</c:v>
                </c:pt>
                <c:pt idx="244">
                  <c:v>244953</c:v>
                </c:pt>
                <c:pt idx="245">
                  <c:v>9464</c:v>
                </c:pt>
                <c:pt idx="246">
                  <c:v>3444</c:v>
                </c:pt>
                <c:pt idx="247">
                  <c:v>5047</c:v>
                </c:pt>
                <c:pt idx="248">
                  <c:v>3280</c:v>
                </c:pt>
                <c:pt idx="249">
                  <c:v>874</c:v>
                </c:pt>
                <c:pt idx="250">
                  <c:v>6095</c:v>
                </c:pt>
                <c:pt idx="251">
                  <c:v>2575</c:v>
                </c:pt>
                <c:pt idx="252">
                  <c:v>7715</c:v>
                </c:pt>
                <c:pt idx="253">
                  <c:v>6894</c:v>
                </c:pt>
                <c:pt idx="254">
                  <c:v>209</c:v>
                </c:pt>
                <c:pt idx="255">
                  <c:v>44753</c:v>
                </c:pt>
                <c:pt idx="256">
                  <c:v>5349</c:v>
                </c:pt>
                <c:pt idx="257">
                  <c:v>8498</c:v>
                </c:pt>
                <c:pt idx="258">
                  <c:v>12492</c:v>
                </c:pt>
                <c:pt idx="259">
                  <c:v>25100</c:v>
                </c:pt>
                <c:pt idx="260">
                  <c:v>2679</c:v>
                </c:pt>
                <c:pt idx="261">
                  <c:v>32165</c:v>
                </c:pt>
                <c:pt idx="262">
                  <c:v>550</c:v>
                </c:pt>
                <c:pt idx="263">
                  <c:v>5782</c:v>
                </c:pt>
                <c:pt idx="264">
                  <c:v>19582</c:v>
                </c:pt>
                <c:pt idx="265">
                  <c:v>2146</c:v>
                </c:pt>
                <c:pt idx="266">
                  <c:v>3903</c:v>
                </c:pt>
                <c:pt idx="267">
                  <c:v>1281</c:v>
                </c:pt>
                <c:pt idx="268">
                  <c:v>4153</c:v>
                </c:pt>
                <c:pt idx="269">
                  <c:v>32210</c:v>
                </c:pt>
                <c:pt idx="270">
                  <c:v>7331</c:v>
                </c:pt>
                <c:pt idx="271">
                  <c:v>881</c:v>
                </c:pt>
                <c:pt idx="272">
                  <c:v>1293</c:v>
                </c:pt>
                <c:pt idx="273">
                  <c:v>1699</c:v>
                </c:pt>
                <c:pt idx="274">
                  <c:v>4318</c:v>
                </c:pt>
                <c:pt idx="275">
                  <c:v>10574</c:v>
                </c:pt>
                <c:pt idx="276">
                  <c:v>4628</c:v>
                </c:pt>
                <c:pt idx="277">
                  <c:v>3812</c:v>
                </c:pt>
                <c:pt idx="278">
                  <c:v>9394</c:v>
                </c:pt>
                <c:pt idx="279">
                  <c:v>70988</c:v>
                </c:pt>
                <c:pt idx="280">
                  <c:v>1241</c:v>
                </c:pt>
                <c:pt idx="281">
                  <c:v>1239</c:v>
                </c:pt>
                <c:pt idx="282">
                  <c:v>1333</c:v>
                </c:pt>
                <c:pt idx="283">
                  <c:v>11157</c:v>
                </c:pt>
                <c:pt idx="284">
                  <c:v>93389</c:v>
                </c:pt>
                <c:pt idx="285">
                  <c:v>16052</c:v>
                </c:pt>
                <c:pt idx="286">
                  <c:v>3364</c:v>
                </c:pt>
                <c:pt idx="287">
                  <c:v>13646</c:v>
                </c:pt>
                <c:pt idx="288">
                  <c:v>15918</c:v>
                </c:pt>
                <c:pt idx="289">
                  <c:v>19359</c:v>
                </c:pt>
                <c:pt idx="290">
                  <c:v>24230</c:v>
                </c:pt>
                <c:pt idx="291">
                  <c:v>8377</c:v>
                </c:pt>
                <c:pt idx="292">
                  <c:v>1709</c:v>
                </c:pt>
                <c:pt idx="293">
                  <c:v>9771</c:v>
                </c:pt>
                <c:pt idx="294">
                  <c:v>2758</c:v>
                </c:pt>
                <c:pt idx="295">
                  <c:v>11276</c:v>
                </c:pt>
                <c:pt idx="296">
                  <c:v>5670</c:v>
                </c:pt>
                <c:pt idx="297">
                  <c:v>517</c:v>
                </c:pt>
                <c:pt idx="298">
                  <c:v>401</c:v>
                </c:pt>
                <c:pt idx="299">
                  <c:v>823</c:v>
                </c:pt>
                <c:pt idx="300">
                  <c:v>266</c:v>
                </c:pt>
                <c:pt idx="301">
                  <c:v>4925</c:v>
                </c:pt>
                <c:pt idx="302">
                  <c:v>1032</c:v>
                </c:pt>
                <c:pt idx="303">
                  <c:v>1636</c:v>
                </c:pt>
                <c:pt idx="304">
                  <c:v>2270</c:v>
                </c:pt>
                <c:pt idx="305">
                  <c:v>29341</c:v>
                </c:pt>
                <c:pt idx="306">
                  <c:v>4632</c:v>
                </c:pt>
                <c:pt idx="307">
                  <c:v>1743</c:v>
                </c:pt>
                <c:pt idx="308">
                  <c:v>12667</c:v>
                </c:pt>
                <c:pt idx="309">
                  <c:v>2103</c:v>
                </c:pt>
                <c:pt idx="310">
                  <c:v>10725</c:v>
                </c:pt>
                <c:pt idx="311">
                  <c:v>3307</c:v>
                </c:pt>
                <c:pt idx="312">
                  <c:v>23869</c:v>
                </c:pt>
                <c:pt idx="313">
                  <c:v>6340</c:v>
                </c:pt>
                <c:pt idx="314">
                  <c:v>15672</c:v>
                </c:pt>
                <c:pt idx="315">
                  <c:v>4628</c:v>
                </c:pt>
                <c:pt idx="316">
                  <c:v>74163</c:v>
                </c:pt>
                <c:pt idx="317">
                  <c:v>10282</c:v>
                </c:pt>
                <c:pt idx="318">
                  <c:v>85822</c:v>
                </c:pt>
                <c:pt idx="319">
                  <c:v>94358</c:v>
                </c:pt>
                <c:pt idx="320">
                  <c:v>57404</c:v>
                </c:pt>
                <c:pt idx="321">
                  <c:v>5890</c:v>
                </c:pt>
                <c:pt idx="322">
                  <c:v>4902</c:v>
                </c:pt>
                <c:pt idx="323">
                  <c:v>302</c:v>
                </c:pt>
                <c:pt idx="324">
                  <c:v>695</c:v>
                </c:pt>
                <c:pt idx="325">
                  <c:v>8407</c:v>
                </c:pt>
                <c:pt idx="326">
                  <c:v>310</c:v>
                </c:pt>
                <c:pt idx="327">
                  <c:v>12316</c:v>
                </c:pt>
                <c:pt idx="328">
                  <c:v>475</c:v>
                </c:pt>
                <c:pt idx="329">
                  <c:v>3801</c:v>
                </c:pt>
                <c:pt idx="330">
                  <c:v>19077</c:v>
                </c:pt>
                <c:pt idx="331">
                  <c:v>2042</c:v>
                </c:pt>
                <c:pt idx="332">
                  <c:v>68987</c:v>
                </c:pt>
                <c:pt idx="333">
                  <c:v>10355</c:v>
                </c:pt>
                <c:pt idx="334">
                  <c:v>682572</c:v>
                </c:pt>
                <c:pt idx="335">
                  <c:v>5446</c:v>
                </c:pt>
                <c:pt idx="336">
                  <c:v>7516</c:v>
                </c:pt>
                <c:pt idx="337">
                  <c:v>215948</c:v>
                </c:pt>
                <c:pt idx="338">
                  <c:v>1261</c:v>
                </c:pt>
                <c:pt idx="339">
                  <c:v>345</c:v>
                </c:pt>
                <c:pt idx="340">
                  <c:v>3753</c:v>
                </c:pt>
                <c:pt idx="341">
                  <c:v>12021</c:v>
                </c:pt>
                <c:pt idx="342">
                  <c:v>2589</c:v>
                </c:pt>
                <c:pt idx="343">
                  <c:v>23439</c:v>
                </c:pt>
                <c:pt idx="344">
                  <c:v>8197</c:v>
                </c:pt>
                <c:pt idx="345">
                  <c:v>1547</c:v>
                </c:pt>
                <c:pt idx="346">
                  <c:v>8498</c:v>
                </c:pt>
                <c:pt idx="347">
                  <c:v>258</c:v>
                </c:pt>
                <c:pt idx="348">
                  <c:v>1446</c:v>
                </c:pt>
                <c:pt idx="349">
                  <c:v>2795</c:v>
                </c:pt>
                <c:pt idx="350">
                  <c:v>4299</c:v>
                </c:pt>
                <c:pt idx="351">
                  <c:v>17191</c:v>
                </c:pt>
                <c:pt idx="352">
                  <c:v>3445</c:v>
                </c:pt>
                <c:pt idx="353">
                  <c:v>128286</c:v>
                </c:pt>
                <c:pt idx="354">
                  <c:v>35277</c:v>
                </c:pt>
                <c:pt idx="355">
                  <c:v>15696</c:v>
                </c:pt>
                <c:pt idx="356">
                  <c:v>500</c:v>
                </c:pt>
                <c:pt idx="357">
                  <c:v>3419</c:v>
                </c:pt>
                <c:pt idx="358">
                  <c:v>16641</c:v>
                </c:pt>
                <c:pt idx="359">
                  <c:v>74977</c:v>
                </c:pt>
                <c:pt idx="360">
                  <c:v>9294</c:v>
                </c:pt>
                <c:pt idx="361">
                  <c:v>9492</c:v>
                </c:pt>
                <c:pt idx="362">
                  <c:v>9582</c:v>
                </c:pt>
                <c:pt idx="363">
                  <c:v>4615</c:v>
                </c:pt>
                <c:pt idx="364">
                  <c:v>21854</c:v>
                </c:pt>
                <c:pt idx="365">
                  <c:v>157383</c:v>
                </c:pt>
                <c:pt idx="366">
                  <c:v>742</c:v>
                </c:pt>
                <c:pt idx="367">
                  <c:v>7471</c:v>
                </c:pt>
                <c:pt idx="368">
                  <c:v>13476</c:v>
                </c:pt>
                <c:pt idx="369">
                  <c:v>56083</c:v>
                </c:pt>
                <c:pt idx="370">
                  <c:v>3367</c:v>
                </c:pt>
                <c:pt idx="371">
                  <c:v>14501</c:v>
                </c:pt>
                <c:pt idx="372">
                  <c:v>32398</c:v>
                </c:pt>
                <c:pt idx="373">
                  <c:v>3373</c:v>
                </c:pt>
                <c:pt idx="374">
                  <c:v>1724</c:v>
                </c:pt>
                <c:pt idx="375">
                  <c:v>9958</c:v>
                </c:pt>
                <c:pt idx="376">
                  <c:v>742</c:v>
                </c:pt>
                <c:pt idx="377">
                  <c:v>1104</c:v>
                </c:pt>
                <c:pt idx="378">
                  <c:v>472</c:v>
                </c:pt>
                <c:pt idx="379">
                  <c:v>1843</c:v>
                </c:pt>
                <c:pt idx="380">
                  <c:v>119</c:v>
                </c:pt>
                <c:pt idx="381">
                  <c:v>13457</c:v>
                </c:pt>
                <c:pt idx="382">
                  <c:v>21529</c:v>
                </c:pt>
                <c:pt idx="383">
                  <c:v>14157</c:v>
                </c:pt>
                <c:pt idx="384">
                  <c:v>31713</c:v>
                </c:pt>
                <c:pt idx="385">
                  <c:v>18782</c:v>
                </c:pt>
                <c:pt idx="386">
                  <c:v>1082</c:v>
                </c:pt>
                <c:pt idx="387">
                  <c:v>23345</c:v>
                </c:pt>
                <c:pt idx="388">
                  <c:v>3153</c:v>
                </c:pt>
                <c:pt idx="389">
                  <c:v>10417</c:v>
                </c:pt>
                <c:pt idx="390">
                  <c:v>18415</c:v>
                </c:pt>
                <c:pt idx="391">
                  <c:v>7817</c:v>
                </c:pt>
                <c:pt idx="392">
                  <c:v>2814</c:v>
                </c:pt>
                <c:pt idx="393">
                  <c:v>4568</c:v>
                </c:pt>
                <c:pt idx="394">
                  <c:v>7797</c:v>
                </c:pt>
                <c:pt idx="395">
                  <c:v>1723</c:v>
                </c:pt>
                <c:pt idx="396">
                  <c:v>2922</c:v>
                </c:pt>
                <c:pt idx="397">
                  <c:v>34458</c:v>
                </c:pt>
                <c:pt idx="398">
                  <c:v>1878</c:v>
                </c:pt>
                <c:pt idx="399">
                  <c:v>86272</c:v>
                </c:pt>
                <c:pt idx="400">
                  <c:v>3258</c:v>
                </c:pt>
                <c:pt idx="401">
                  <c:v>3180</c:v>
                </c:pt>
                <c:pt idx="402">
                  <c:v>96664</c:v>
                </c:pt>
                <c:pt idx="403">
                  <c:v>7411</c:v>
                </c:pt>
                <c:pt idx="404">
                  <c:v>3561</c:v>
                </c:pt>
                <c:pt idx="405">
                  <c:v>1463</c:v>
                </c:pt>
                <c:pt idx="406">
                  <c:v>6312</c:v>
                </c:pt>
                <c:pt idx="407">
                  <c:v>3977</c:v>
                </c:pt>
                <c:pt idx="408">
                  <c:v>3491</c:v>
                </c:pt>
                <c:pt idx="409">
                  <c:v>25872</c:v>
                </c:pt>
                <c:pt idx="410">
                  <c:v>71210</c:v>
                </c:pt>
                <c:pt idx="411">
                  <c:v>3975</c:v>
                </c:pt>
                <c:pt idx="412">
                  <c:v>1836</c:v>
                </c:pt>
                <c:pt idx="413">
                  <c:v>39832</c:v>
                </c:pt>
                <c:pt idx="414">
                  <c:v>8877</c:v>
                </c:pt>
                <c:pt idx="415">
                  <c:v>2055</c:v>
                </c:pt>
                <c:pt idx="416">
                  <c:v>3191</c:v>
                </c:pt>
                <c:pt idx="417">
                  <c:v>1583</c:v>
                </c:pt>
                <c:pt idx="418">
                  <c:v>7424</c:v>
                </c:pt>
                <c:pt idx="419">
                  <c:v>6100</c:v>
                </c:pt>
                <c:pt idx="420">
                  <c:v>6115</c:v>
                </c:pt>
                <c:pt idx="421">
                  <c:v>8546</c:v>
                </c:pt>
                <c:pt idx="422">
                  <c:v>246</c:v>
                </c:pt>
                <c:pt idx="423">
                  <c:v>16185</c:v>
                </c:pt>
                <c:pt idx="424">
                  <c:v>966</c:v>
                </c:pt>
                <c:pt idx="425">
                  <c:v>2996</c:v>
                </c:pt>
                <c:pt idx="426">
                  <c:v>2985</c:v>
                </c:pt>
                <c:pt idx="427">
                  <c:v>270088</c:v>
                </c:pt>
                <c:pt idx="428">
                  <c:v>425</c:v>
                </c:pt>
                <c:pt idx="429">
                  <c:v>104365</c:v>
                </c:pt>
                <c:pt idx="430">
                  <c:v>3244</c:v>
                </c:pt>
                <c:pt idx="431">
                  <c:v>1326</c:v>
                </c:pt>
                <c:pt idx="432">
                  <c:v>111914</c:v>
                </c:pt>
                <c:pt idx="433">
                  <c:v>29634</c:v>
                </c:pt>
                <c:pt idx="434">
                  <c:v>17983</c:v>
                </c:pt>
                <c:pt idx="435">
                  <c:v>38463</c:v>
                </c:pt>
                <c:pt idx="436">
                  <c:v>2801</c:v>
                </c:pt>
                <c:pt idx="437">
                  <c:v>881</c:v>
                </c:pt>
                <c:pt idx="438">
                  <c:v>30166</c:v>
                </c:pt>
                <c:pt idx="439">
                  <c:v>881</c:v>
                </c:pt>
                <c:pt idx="440">
                  <c:v>210</c:v>
                </c:pt>
                <c:pt idx="441">
                  <c:v>4253</c:v>
                </c:pt>
                <c:pt idx="442">
                  <c:v>37090</c:v>
                </c:pt>
                <c:pt idx="443">
                  <c:v>8035</c:v>
                </c:pt>
                <c:pt idx="444">
                  <c:v>1458</c:v>
                </c:pt>
                <c:pt idx="445">
                  <c:v>16428</c:v>
                </c:pt>
                <c:pt idx="446">
                  <c:v>5442</c:v>
                </c:pt>
                <c:pt idx="447">
                  <c:v>11137</c:v>
                </c:pt>
                <c:pt idx="448">
                  <c:v>5326</c:v>
                </c:pt>
                <c:pt idx="449">
                  <c:v>23946</c:v>
                </c:pt>
                <c:pt idx="450">
                  <c:v>1881</c:v>
                </c:pt>
                <c:pt idx="451">
                  <c:v>15157</c:v>
                </c:pt>
                <c:pt idx="452">
                  <c:v>10038</c:v>
                </c:pt>
                <c:pt idx="453">
                  <c:v>2344</c:v>
                </c:pt>
                <c:pt idx="454">
                  <c:v>4309</c:v>
                </c:pt>
                <c:pt idx="455">
                  <c:v>11660</c:v>
                </c:pt>
                <c:pt idx="456">
                  <c:v>68830</c:v>
                </c:pt>
                <c:pt idx="457">
                  <c:v>30000</c:v>
                </c:pt>
                <c:pt idx="458">
                  <c:v>29808</c:v>
                </c:pt>
                <c:pt idx="459">
                  <c:v>3302</c:v>
                </c:pt>
                <c:pt idx="460">
                  <c:v>3258</c:v>
                </c:pt>
                <c:pt idx="461">
                  <c:v>41144</c:v>
                </c:pt>
                <c:pt idx="462">
                  <c:v>1094</c:v>
                </c:pt>
                <c:pt idx="463">
                  <c:v>22442</c:v>
                </c:pt>
                <c:pt idx="464">
                  <c:v>6248</c:v>
                </c:pt>
                <c:pt idx="465">
                  <c:v>8826</c:v>
                </c:pt>
                <c:pt idx="466">
                  <c:v>20310</c:v>
                </c:pt>
                <c:pt idx="467">
                  <c:v>7378</c:v>
                </c:pt>
                <c:pt idx="468">
                  <c:v>15992</c:v>
                </c:pt>
                <c:pt idx="469">
                  <c:v>1988</c:v>
                </c:pt>
                <c:pt idx="470">
                  <c:v>1422</c:v>
                </c:pt>
                <c:pt idx="471">
                  <c:v>11831</c:v>
                </c:pt>
                <c:pt idx="472">
                  <c:v>8040</c:v>
                </c:pt>
                <c:pt idx="473">
                  <c:v>114935</c:v>
                </c:pt>
                <c:pt idx="474">
                  <c:v>2351</c:v>
                </c:pt>
                <c:pt idx="475">
                  <c:v>39369</c:v>
                </c:pt>
                <c:pt idx="476">
                  <c:v>15746</c:v>
                </c:pt>
                <c:pt idx="477">
                  <c:v>7016</c:v>
                </c:pt>
                <c:pt idx="478">
                  <c:v>9098</c:v>
                </c:pt>
                <c:pt idx="479">
                  <c:v>11331</c:v>
                </c:pt>
                <c:pt idx="480">
                  <c:v>24809</c:v>
                </c:pt>
                <c:pt idx="481">
                  <c:v>1929</c:v>
                </c:pt>
                <c:pt idx="482">
                  <c:v>568</c:v>
                </c:pt>
                <c:pt idx="483">
                  <c:v>15784</c:v>
                </c:pt>
                <c:pt idx="484">
                  <c:v>126654</c:v>
                </c:pt>
                <c:pt idx="485">
                  <c:v>8252</c:v>
                </c:pt>
                <c:pt idx="486">
                  <c:v>5083</c:v>
                </c:pt>
                <c:pt idx="487">
                  <c:v>23239</c:v>
                </c:pt>
                <c:pt idx="488">
                  <c:v>2312</c:v>
                </c:pt>
                <c:pt idx="489">
                  <c:v>15645</c:v>
                </c:pt>
                <c:pt idx="490">
                  <c:v>24768</c:v>
                </c:pt>
                <c:pt idx="491">
                  <c:v>30698</c:v>
                </c:pt>
                <c:pt idx="492">
                  <c:v>2015</c:v>
                </c:pt>
                <c:pt idx="493">
                  <c:v>9697</c:v>
                </c:pt>
                <c:pt idx="494">
                  <c:v>4893</c:v>
                </c:pt>
                <c:pt idx="495">
                  <c:v>19975</c:v>
                </c:pt>
                <c:pt idx="496">
                  <c:v>21326</c:v>
                </c:pt>
                <c:pt idx="497">
                  <c:v>183939</c:v>
                </c:pt>
                <c:pt idx="498">
                  <c:v>4526</c:v>
                </c:pt>
                <c:pt idx="499">
                  <c:v>10551</c:v>
                </c:pt>
                <c:pt idx="500">
                  <c:v>19255</c:v>
                </c:pt>
                <c:pt idx="501">
                  <c:v>35162</c:v>
                </c:pt>
                <c:pt idx="502">
                  <c:v>104499</c:v>
                </c:pt>
                <c:pt idx="503">
                  <c:v>48579</c:v>
                </c:pt>
                <c:pt idx="504">
                  <c:v>901</c:v>
                </c:pt>
                <c:pt idx="505">
                  <c:v>41323</c:v>
                </c:pt>
                <c:pt idx="506">
                  <c:v>7964</c:v>
                </c:pt>
                <c:pt idx="507">
                  <c:v>84527</c:v>
                </c:pt>
                <c:pt idx="508">
                  <c:v>40024</c:v>
                </c:pt>
                <c:pt idx="509">
                  <c:v>9028</c:v>
                </c:pt>
                <c:pt idx="510">
                  <c:v>6631</c:v>
                </c:pt>
                <c:pt idx="511">
                  <c:v>1625</c:v>
                </c:pt>
                <c:pt idx="512">
                  <c:v>121875</c:v>
                </c:pt>
                <c:pt idx="513">
                  <c:v>6565</c:v>
                </c:pt>
                <c:pt idx="514">
                  <c:v>15455</c:v>
                </c:pt>
                <c:pt idx="515">
                  <c:v>29873</c:v>
                </c:pt>
                <c:pt idx="516">
                  <c:v>181294</c:v>
                </c:pt>
                <c:pt idx="517">
                  <c:v>2663</c:v>
                </c:pt>
                <c:pt idx="518">
                  <c:v>2113</c:v>
                </c:pt>
                <c:pt idx="519">
                  <c:v>1516</c:v>
                </c:pt>
                <c:pt idx="520">
                  <c:v>86681</c:v>
                </c:pt>
                <c:pt idx="521">
                  <c:v>10291</c:v>
                </c:pt>
                <c:pt idx="522">
                  <c:v>1411</c:v>
                </c:pt>
                <c:pt idx="523">
                  <c:v>38858</c:v>
                </c:pt>
                <c:pt idx="524">
                  <c:v>28900</c:v>
                </c:pt>
                <c:pt idx="525">
                  <c:v>211418</c:v>
                </c:pt>
                <c:pt idx="526">
                  <c:v>48943</c:v>
                </c:pt>
                <c:pt idx="527">
                  <c:v>11243</c:v>
                </c:pt>
                <c:pt idx="528">
                  <c:v>4833</c:v>
                </c:pt>
                <c:pt idx="529">
                  <c:v>1388</c:v>
                </c:pt>
                <c:pt idx="530">
                  <c:v>10503</c:v>
                </c:pt>
                <c:pt idx="531">
                  <c:v>105625</c:v>
                </c:pt>
                <c:pt idx="532">
                  <c:v>52814</c:v>
                </c:pt>
                <c:pt idx="533">
                  <c:v>2270</c:v>
                </c:pt>
                <c:pt idx="534">
                  <c:v>8231</c:v>
                </c:pt>
                <c:pt idx="535">
                  <c:v>214</c:v>
                </c:pt>
                <c:pt idx="536">
                  <c:v>1605</c:v>
                </c:pt>
                <c:pt idx="537">
                  <c:v>195</c:v>
                </c:pt>
                <c:pt idx="538">
                  <c:v>14767</c:v>
                </c:pt>
                <c:pt idx="539">
                  <c:v>20095</c:v>
                </c:pt>
                <c:pt idx="540">
                  <c:v>9435</c:v>
                </c:pt>
                <c:pt idx="541">
                  <c:v>14188</c:v>
                </c:pt>
                <c:pt idx="542">
                  <c:v>18726</c:v>
                </c:pt>
                <c:pt idx="543">
                  <c:v>3769</c:v>
                </c:pt>
                <c:pt idx="544">
                  <c:v>9416</c:v>
                </c:pt>
                <c:pt idx="545">
                  <c:v>1423</c:v>
                </c:pt>
                <c:pt idx="546">
                  <c:v>1887</c:v>
                </c:pt>
                <c:pt idx="547">
                  <c:v>10715</c:v>
                </c:pt>
                <c:pt idx="548">
                  <c:v>5207</c:v>
                </c:pt>
                <c:pt idx="549">
                  <c:v>4409</c:v>
                </c:pt>
                <c:pt idx="550">
                  <c:v>2739</c:v>
                </c:pt>
                <c:pt idx="551">
                  <c:v>4635</c:v>
                </c:pt>
                <c:pt idx="552">
                  <c:v>1005</c:v>
                </c:pt>
                <c:pt idx="553">
                  <c:v>18371</c:v>
                </c:pt>
                <c:pt idx="554">
                  <c:v>5811</c:v>
                </c:pt>
                <c:pt idx="555">
                  <c:v>17853</c:v>
                </c:pt>
                <c:pt idx="556">
                  <c:v>6844</c:v>
                </c:pt>
                <c:pt idx="557">
                  <c:v>2355</c:v>
                </c:pt>
                <c:pt idx="558">
                  <c:v>172</c:v>
                </c:pt>
                <c:pt idx="559">
                  <c:v>56725</c:v>
                </c:pt>
                <c:pt idx="560">
                  <c:v>3088</c:v>
                </c:pt>
                <c:pt idx="561">
                  <c:v>73215</c:v>
                </c:pt>
                <c:pt idx="562">
                  <c:v>48617</c:v>
                </c:pt>
                <c:pt idx="563">
                  <c:v>9096</c:v>
                </c:pt>
                <c:pt idx="564">
                  <c:v>65620</c:v>
                </c:pt>
                <c:pt idx="565">
                  <c:v>45254</c:v>
                </c:pt>
                <c:pt idx="566">
                  <c:v>87</c:v>
                </c:pt>
                <c:pt idx="567">
                  <c:v>5166</c:v>
                </c:pt>
                <c:pt idx="568">
                  <c:v>2226</c:v>
                </c:pt>
                <c:pt idx="569">
                  <c:v>232</c:v>
                </c:pt>
                <c:pt idx="570">
                  <c:v>3387</c:v>
                </c:pt>
                <c:pt idx="571">
                  <c:v>62046</c:v>
                </c:pt>
                <c:pt idx="572">
                  <c:v>6023</c:v>
                </c:pt>
                <c:pt idx="573">
                  <c:v>4183</c:v>
                </c:pt>
                <c:pt idx="574">
                  <c:v>22764</c:v>
                </c:pt>
                <c:pt idx="575">
                  <c:v>69672</c:v>
                </c:pt>
                <c:pt idx="576">
                  <c:v>119762</c:v>
                </c:pt>
                <c:pt idx="577">
                  <c:v>4552</c:v>
                </c:pt>
                <c:pt idx="578">
                  <c:v>1133</c:v>
                </c:pt>
                <c:pt idx="579">
                  <c:v>28958</c:v>
                </c:pt>
                <c:pt idx="580">
                  <c:v>432</c:v>
                </c:pt>
                <c:pt idx="581">
                  <c:v>57921</c:v>
                </c:pt>
                <c:pt idx="582">
                  <c:v>6705</c:v>
                </c:pt>
                <c:pt idx="583">
                  <c:v>889</c:v>
                </c:pt>
                <c:pt idx="584">
                  <c:v>2080</c:v>
                </c:pt>
                <c:pt idx="585">
                  <c:v>12964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CCF-88A6-2B9D9B4A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669968"/>
        <c:axId val="1958661648"/>
      </c:scatterChart>
      <c:valAx>
        <c:axId val="195866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661648"/>
        <c:crosses val="autoZero"/>
        <c:crossBetween val="midCat"/>
      </c:valAx>
      <c:valAx>
        <c:axId val="19586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66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0</xdr:row>
      <xdr:rowOff>0</xdr:rowOff>
    </xdr:from>
    <xdr:to>
      <xdr:col>25</xdr:col>
      <xdr:colOff>200025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75D0C-7353-40F1-8219-4BE508E4B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171450</xdr:colOff>
      <xdr:row>15</xdr:row>
      <xdr:rowOff>23812</xdr:rowOff>
    </xdr:from>
    <xdr:to>
      <xdr:col>25</xdr:col>
      <xdr:colOff>209550</xdr:colOff>
      <xdr:row>27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AC971-EB4E-4F67-9A73-4E583B46E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9524</xdr:colOff>
      <xdr:row>30</xdr:row>
      <xdr:rowOff>9524</xdr:rowOff>
    </xdr:from>
    <xdr:to>
      <xdr:col>27</xdr:col>
      <xdr:colOff>152399</xdr:colOff>
      <xdr:row>47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53C77-8C46-4700-8BC5-978D9265C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576261</xdr:colOff>
      <xdr:row>50</xdr:row>
      <xdr:rowOff>23812</xdr:rowOff>
    </xdr:from>
    <xdr:to>
      <xdr:col>28</xdr:col>
      <xdr:colOff>114300</xdr:colOff>
      <xdr:row>72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CEF090-3D19-4B70-B4C6-49529E610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3</xdr:row>
      <xdr:rowOff>38100</xdr:rowOff>
    </xdr:from>
    <xdr:to>
      <xdr:col>19</xdr:col>
      <xdr:colOff>247649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59207-50C2-48E0-B2D3-D7973FB01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114299</xdr:colOff>
      <xdr:row>2</xdr:row>
      <xdr:rowOff>76200</xdr:rowOff>
    </xdr:from>
    <xdr:to>
      <xdr:col>14</xdr:col>
      <xdr:colOff>66674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03804-4866-4F93-9901-DD8B3887F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4</xdr:row>
      <xdr:rowOff>61911</xdr:rowOff>
    </xdr:from>
    <xdr:to>
      <xdr:col>24</xdr:col>
      <xdr:colOff>457199</xdr:colOff>
      <xdr:row>24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914C3-0F2F-4694-B74E-764BDCD30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152401</xdr:colOff>
      <xdr:row>26</xdr:row>
      <xdr:rowOff>23811</xdr:rowOff>
    </xdr:from>
    <xdr:to>
      <xdr:col>24</xdr:col>
      <xdr:colOff>485775</xdr:colOff>
      <xdr:row>45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5A0CE-5CF4-4AE3-9A7F-374F5B570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2</xdr:row>
      <xdr:rowOff>42861</xdr:rowOff>
    </xdr:from>
    <xdr:to>
      <xdr:col>14</xdr:col>
      <xdr:colOff>342900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5B1A8-FC0C-4216-8547-B0DBE2D85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iew_counts_category+languag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iew_counts_languag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iewed_counts_by_tim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viewed_counts_dis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ew_counts"/>
    </sheetNames>
    <sheetDataSet>
      <sheetData sheetId="0">
        <row r="15">
          <cell r="A15" t="str">
            <v>Build</v>
          </cell>
          <cell r="B15" t="str">
            <v>python,c++</v>
          </cell>
          <cell r="C15">
            <v>108826</v>
          </cell>
        </row>
        <row r="16">
          <cell r="B16" t="str">
            <v>c#,c++</v>
          </cell>
          <cell r="C16">
            <v>124472</v>
          </cell>
        </row>
        <row r="17">
          <cell r="B17" t="str">
            <v>javascript,php</v>
          </cell>
          <cell r="C17">
            <v>180762</v>
          </cell>
        </row>
        <row r="36">
          <cell r="A36" t="str">
            <v>Data handling</v>
          </cell>
          <cell r="B36" t="str">
            <v>javascript,python</v>
          </cell>
          <cell r="C36">
            <v>309019</v>
          </cell>
        </row>
        <row r="37">
          <cell r="B37" t="str">
            <v>javascript,c#</v>
          </cell>
          <cell r="C37">
            <v>390214</v>
          </cell>
        </row>
        <row r="38">
          <cell r="B38" t="str">
            <v>javascript,php</v>
          </cell>
          <cell r="C38">
            <v>945469</v>
          </cell>
        </row>
        <row r="43">
          <cell r="A43" t="str">
            <v>Efficiency/Performance</v>
          </cell>
          <cell r="B43" t="str">
            <v>java,c++</v>
          </cell>
          <cell r="C43">
            <v>12316</v>
          </cell>
        </row>
        <row r="44">
          <cell r="B44" t="str">
            <v>javascript,php</v>
          </cell>
          <cell r="C44">
            <v>36752</v>
          </cell>
        </row>
        <row r="45">
          <cell r="B45" t="str">
            <v>javascript,python</v>
          </cell>
          <cell r="C45">
            <v>57404</v>
          </cell>
        </row>
        <row r="47">
          <cell r="A47" t="str">
            <v>Embedding</v>
          </cell>
          <cell r="B47" t="str">
            <v>java,javascript</v>
          </cell>
          <cell r="C47">
            <v>151420</v>
          </cell>
        </row>
        <row r="48">
          <cell r="B48" t="str">
            <v>javascript,c#</v>
          </cell>
          <cell r="C48">
            <v>464378</v>
          </cell>
        </row>
        <row r="49">
          <cell r="B49" t="str">
            <v>javascript,php</v>
          </cell>
          <cell r="C49">
            <v>1150107</v>
          </cell>
        </row>
        <row r="54">
          <cell r="A54" t="str">
            <v>Error/Exception handling</v>
          </cell>
          <cell r="B54" t="str">
            <v>java,javascript</v>
          </cell>
          <cell r="C54">
            <v>6256</v>
          </cell>
        </row>
        <row r="55">
          <cell r="B55" t="str">
            <v>python,c++</v>
          </cell>
          <cell r="C55">
            <v>6853</v>
          </cell>
        </row>
        <row r="56">
          <cell r="B56" t="str">
            <v>c,python</v>
          </cell>
          <cell r="C56">
            <v>9958</v>
          </cell>
        </row>
        <row r="77">
          <cell r="A77" t="str">
            <v>Interfacing</v>
          </cell>
          <cell r="B77" t="str">
            <v>javascript,c#</v>
          </cell>
          <cell r="C77">
            <v>584460</v>
          </cell>
        </row>
        <row r="78">
          <cell r="B78" t="str">
            <v>shell,python</v>
          </cell>
          <cell r="C78">
            <v>1066588</v>
          </cell>
        </row>
        <row r="79">
          <cell r="B79" t="str">
            <v>javascript,php</v>
          </cell>
          <cell r="C79">
            <v>1620167</v>
          </cell>
        </row>
        <row r="86">
          <cell r="A86" t="str">
            <v>Language choice</v>
          </cell>
          <cell r="B86" t="str">
            <v>javascript,c#</v>
          </cell>
          <cell r="C86">
            <v>50420</v>
          </cell>
        </row>
        <row r="87">
          <cell r="B87" t="str">
            <v>javascript,python</v>
          </cell>
          <cell r="C87">
            <v>62046</v>
          </cell>
        </row>
        <row r="88">
          <cell r="B88" t="str">
            <v>javascript,php</v>
          </cell>
          <cell r="C88">
            <v>371443</v>
          </cell>
        </row>
        <row r="90">
          <cell r="A90" t="str">
            <v>Security</v>
          </cell>
          <cell r="B90" t="str">
            <v>javascript,php</v>
          </cell>
          <cell r="C90">
            <v>4905</v>
          </cell>
        </row>
        <row r="91">
          <cell r="B91" t="str">
            <v>javascript,c#</v>
          </cell>
          <cell r="C91">
            <v>10014</v>
          </cell>
        </row>
        <row r="92">
          <cell r="B92" t="str">
            <v>java,javascript</v>
          </cell>
          <cell r="C92">
            <v>25971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ew_counts"/>
    </sheetNames>
    <sheetDataSet>
      <sheetData sheetId="0">
        <row r="1">
          <cell r="A1" t="str">
            <v>php,javascript</v>
          </cell>
          <cell r="B1">
            <v>4310347</v>
          </cell>
        </row>
        <row r="2">
          <cell r="A2" t="str">
            <v>javascript,c#</v>
          </cell>
          <cell r="B2">
            <v>1535219</v>
          </cell>
        </row>
        <row r="3">
          <cell r="A3" t="str">
            <v>python,shell</v>
          </cell>
          <cell r="B3">
            <v>1233693</v>
          </cell>
        </row>
        <row r="4">
          <cell r="A4" t="str">
            <v>javascript,java</v>
          </cell>
          <cell r="B4">
            <v>849883</v>
          </cell>
        </row>
        <row r="5">
          <cell r="A5" t="str">
            <v>python,javascript</v>
          </cell>
          <cell r="B5">
            <v>815987</v>
          </cell>
        </row>
        <row r="6">
          <cell r="A6" t="str">
            <v>c++,c#</v>
          </cell>
          <cell r="B6">
            <v>747888</v>
          </cell>
        </row>
        <row r="7">
          <cell r="A7" t="str">
            <v>c++,python</v>
          </cell>
          <cell r="B7">
            <v>470896</v>
          </cell>
        </row>
        <row r="8">
          <cell r="A8" t="str">
            <v>php,shell</v>
          </cell>
          <cell r="B8">
            <v>465847</v>
          </cell>
        </row>
        <row r="9">
          <cell r="A9" t="str">
            <v>python,c</v>
          </cell>
          <cell r="B9">
            <v>366689</v>
          </cell>
        </row>
        <row r="10">
          <cell r="A10" t="str">
            <v>python,java</v>
          </cell>
          <cell r="B10">
            <v>186251</v>
          </cell>
        </row>
        <row r="11">
          <cell r="A11" t="str">
            <v>c++,java</v>
          </cell>
          <cell r="B11">
            <v>181386</v>
          </cell>
        </row>
        <row r="12">
          <cell r="A12" t="str">
            <v>java,shell</v>
          </cell>
          <cell r="B12">
            <v>173198</v>
          </cell>
        </row>
        <row r="13">
          <cell r="A13" t="str">
            <v>php,python</v>
          </cell>
          <cell r="B13">
            <v>115139</v>
          </cell>
        </row>
        <row r="14">
          <cell r="A14" t="str">
            <v>python,c#</v>
          </cell>
          <cell r="B14">
            <v>98408</v>
          </cell>
        </row>
        <row r="15">
          <cell r="A15" t="str">
            <v>c,java</v>
          </cell>
          <cell r="B15">
            <v>93389</v>
          </cell>
        </row>
        <row r="16">
          <cell r="A16" t="str">
            <v>c,c#</v>
          </cell>
          <cell r="B16">
            <v>59806</v>
          </cell>
        </row>
        <row r="17">
          <cell r="A17" t="str">
            <v>php,c#</v>
          </cell>
          <cell r="B17">
            <v>56692</v>
          </cell>
        </row>
        <row r="18">
          <cell r="A18" t="str">
            <v>java,c#</v>
          </cell>
          <cell r="B18">
            <v>31916</v>
          </cell>
        </row>
        <row r="19">
          <cell r="A19" t="str">
            <v>javascript,c</v>
          </cell>
          <cell r="B19">
            <v>29633</v>
          </cell>
        </row>
        <row r="20">
          <cell r="A20" t="str">
            <v>c++,javascript</v>
          </cell>
          <cell r="B20">
            <v>28397</v>
          </cell>
        </row>
        <row r="21">
          <cell r="A21" t="str">
            <v>c,shell</v>
          </cell>
          <cell r="B21">
            <v>27997</v>
          </cell>
        </row>
        <row r="22">
          <cell r="A22" t="str">
            <v>php,java</v>
          </cell>
          <cell r="B22">
            <v>19182</v>
          </cell>
        </row>
        <row r="23">
          <cell r="A23" t="str">
            <v>php,c</v>
          </cell>
          <cell r="B23">
            <v>7835</v>
          </cell>
        </row>
        <row r="24">
          <cell r="A24" t="str">
            <v>c++,python,java</v>
          </cell>
          <cell r="B24">
            <v>2665</v>
          </cell>
        </row>
        <row r="25">
          <cell r="A25" t="str">
            <v>php,c++</v>
          </cell>
          <cell r="B25">
            <v>1005</v>
          </cell>
        </row>
        <row r="26">
          <cell r="A26" t="str">
            <v>c++,c</v>
          </cell>
          <cell r="B26">
            <v>874</v>
          </cell>
        </row>
        <row r="27">
          <cell r="A27" t="str">
            <v>php,c++,javascript</v>
          </cell>
          <cell r="B27">
            <v>530</v>
          </cell>
        </row>
        <row r="28">
          <cell r="A28" t="str">
            <v>c++,c,java,c#</v>
          </cell>
          <cell r="B28">
            <v>119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data"/>
    </sheetNames>
    <sheetDataSet>
      <sheetData sheetId="0">
        <row r="4">
          <cell r="M4">
            <v>2008</v>
          </cell>
          <cell r="N4">
            <v>16945.714285714286</v>
          </cell>
          <cell r="AA4">
            <v>118620</v>
          </cell>
        </row>
        <row r="5">
          <cell r="M5">
            <v>2009</v>
          </cell>
          <cell r="N5">
            <v>43330.969696969696</v>
          </cell>
          <cell r="AA5">
            <v>1429922</v>
          </cell>
        </row>
        <row r="6">
          <cell r="M6">
            <v>2010</v>
          </cell>
          <cell r="N6">
            <v>24200.273972602739</v>
          </cell>
          <cell r="AA6">
            <v>1766620</v>
          </cell>
        </row>
        <row r="7">
          <cell r="M7">
            <v>2011</v>
          </cell>
          <cell r="N7">
            <v>23719.371794871793</v>
          </cell>
          <cell r="AA7">
            <v>1850111</v>
          </cell>
        </row>
        <row r="8">
          <cell r="M8">
            <v>2012</v>
          </cell>
          <cell r="N8">
            <v>24866.602941176472</v>
          </cell>
          <cell r="AA8">
            <v>1690929</v>
          </cell>
        </row>
        <row r="9">
          <cell r="M9">
            <v>2013</v>
          </cell>
          <cell r="N9">
            <v>30680.25</v>
          </cell>
          <cell r="AA9">
            <v>2208978</v>
          </cell>
        </row>
        <row r="10">
          <cell r="M10">
            <v>2014</v>
          </cell>
          <cell r="N10">
            <v>15057.102040816326</v>
          </cell>
          <cell r="AA10">
            <v>737798</v>
          </cell>
        </row>
        <row r="11">
          <cell r="M11">
            <v>2015</v>
          </cell>
          <cell r="N11">
            <v>14139.556962025317</v>
          </cell>
          <cell r="AA11">
            <v>1117025</v>
          </cell>
        </row>
        <row r="12">
          <cell r="M12">
            <v>2016</v>
          </cell>
          <cell r="N12">
            <v>6514</v>
          </cell>
          <cell r="AA12">
            <v>299644</v>
          </cell>
        </row>
        <row r="13">
          <cell r="M13">
            <v>2017</v>
          </cell>
          <cell r="N13">
            <v>10572.457142857143</v>
          </cell>
          <cell r="AA13">
            <v>370036</v>
          </cell>
        </row>
        <row r="14">
          <cell r="M14">
            <v>2018</v>
          </cell>
          <cell r="N14">
            <v>7694.727272727273</v>
          </cell>
          <cell r="AA14">
            <v>169284</v>
          </cell>
        </row>
        <row r="15">
          <cell r="M15">
            <v>2019</v>
          </cell>
          <cell r="N15">
            <v>1878.1428571428571</v>
          </cell>
          <cell r="AA15">
            <v>26294</v>
          </cell>
        </row>
        <row r="16">
          <cell r="M16">
            <v>2020</v>
          </cell>
          <cell r="N16">
            <v>3031</v>
          </cell>
          <cell r="AA16">
            <v>15155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ewed_counts"/>
    </sheetNames>
    <sheetDataSet>
      <sheetData sheetId="0">
        <row r="1">
          <cell r="B1" t="str">
            <v>viewed_counts</v>
          </cell>
        </row>
        <row r="2">
          <cell r="B2">
            <v>469</v>
          </cell>
        </row>
        <row r="3">
          <cell r="B3">
            <v>648155</v>
          </cell>
        </row>
        <row r="4">
          <cell r="B4">
            <v>416</v>
          </cell>
        </row>
        <row r="5">
          <cell r="B5">
            <v>6245</v>
          </cell>
        </row>
        <row r="6">
          <cell r="B6">
            <v>2696</v>
          </cell>
        </row>
        <row r="7">
          <cell r="B7">
            <v>45640</v>
          </cell>
        </row>
        <row r="8">
          <cell r="B8">
            <v>135324</v>
          </cell>
        </row>
        <row r="9">
          <cell r="B9">
            <v>2472</v>
          </cell>
        </row>
        <row r="10">
          <cell r="B10">
            <v>2383</v>
          </cell>
        </row>
        <row r="11">
          <cell r="B11">
            <v>50834</v>
          </cell>
        </row>
        <row r="12">
          <cell r="B12">
            <v>9573</v>
          </cell>
        </row>
        <row r="13">
          <cell r="B13">
            <v>924</v>
          </cell>
        </row>
        <row r="14">
          <cell r="B14">
            <v>3338</v>
          </cell>
        </row>
        <row r="15">
          <cell r="B15">
            <v>641</v>
          </cell>
        </row>
        <row r="16">
          <cell r="B16">
            <v>4422</v>
          </cell>
        </row>
        <row r="17">
          <cell r="B17">
            <v>2376</v>
          </cell>
        </row>
        <row r="18">
          <cell r="B18">
            <v>2165</v>
          </cell>
        </row>
        <row r="19">
          <cell r="B19">
            <v>3941</v>
          </cell>
        </row>
        <row r="20">
          <cell r="B20">
            <v>1329</v>
          </cell>
        </row>
        <row r="21">
          <cell r="B21">
            <v>6780</v>
          </cell>
        </row>
        <row r="22">
          <cell r="B22">
            <v>5723</v>
          </cell>
        </row>
        <row r="23">
          <cell r="B23">
            <v>32214</v>
          </cell>
        </row>
        <row r="24">
          <cell r="B24">
            <v>944</v>
          </cell>
        </row>
        <row r="25">
          <cell r="B25">
            <v>1323</v>
          </cell>
        </row>
        <row r="26">
          <cell r="B26">
            <v>130090</v>
          </cell>
        </row>
        <row r="27">
          <cell r="B27">
            <v>2130</v>
          </cell>
        </row>
        <row r="28">
          <cell r="B28">
            <v>2658</v>
          </cell>
        </row>
        <row r="29">
          <cell r="B29">
            <v>10736</v>
          </cell>
        </row>
        <row r="30">
          <cell r="B30">
            <v>1876</v>
          </cell>
        </row>
        <row r="31">
          <cell r="B31">
            <v>892</v>
          </cell>
        </row>
        <row r="32">
          <cell r="B32">
            <v>13939</v>
          </cell>
        </row>
        <row r="33">
          <cell r="B33">
            <v>17615</v>
          </cell>
        </row>
        <row r="34">
          <cell r="B34">
            <v>1552</v>
          </cell>
        </row>
        <row r="35">
          <cell r="B35">
            <v>4696</v>
          </cell>
        </row>
        <row r="36">
          <cell r="B36">
            <v>13379</v>
          </cell>
        </row>
        <row r="37">
          <cell r="B37">
            <v>2402</v>
          </cell>
        </row>
        <row r="38">
          <cell r="B38">
            <v>4532</v>
          </cell>
        </row>
        <row r="39">
          <cell r="B39">
            <v>12418</v>
          </cell>
        </row>
        <row r="40">
          <cell r="B40">
            <v>797</v>
          </cell>
        </row>
        <row r="41">
          <cell r="B41">
            <v>667</v>
          </cell>
        </row>
        <row r="42">
          <cell r="B42">
            <v>294</v>
          </cell>
        </row>
        <row r="43">
          <cell r="B43">
            <v>530</v>
          </cell>
        </row>
        <row r="44">
          <cell r="B44">
            <v>5673</v>
          </cell>
        </row>
        <row r="45">
          <cell r="B45">
            <v>1018</v>
          </cell>
        </row>
        <row r="46">
          <cell r="B46">
            <v>18106</v>
          </cell>
        </row>
        <row r="47">
          <cell r="B47">
            <v>1460</v>
          </cell>
        </row>
        <row r="48">
          <cell r="B48">
            <v>1687</v>
          </cell>
        </row>
        <row r="49">
          <cell r="B49">
            <v>8476</v>
          </cell>
        </row>
        <row r="50">
          <cell r="B50">
            <v>11682</v>
          </cell>
        </row>
        <row r="51">
          <cell r="B51">
            <v>6445</v>
          </cell>
        </row>
        <row r="52">
          <cell r="B52">
            <v>65739</v>
          </cell>
        </row>
        <row r="53">
          <cell r="B53">
            <v>2763</v>
          </cell>
        </row>
        <row r="54">
          <cell r="B54">
            <v>1176</v>
          </cell>
        </row>
        <row r="55">
          <cell r="B55">
            <v>6247</v>
          </cell>
        </row>
        <row r="56">
          <cell r="B56">
            <v>6246</v>
          </cell>
        </row>
        <row r="57">
          <cell r="B57">
            <v>6988</v>
          </cell>
        </row>
        <row r="58">
          <cell r="B58">
            <v>10943</v>
          </cell>
        </row>
        <row r="59">
          <cell r="B59">
            <v>52788</v>
          </cell>
        </row>
        <row r="60">
          <cell r="B60">
            <v>1433</v>
          </cell>
        </row>
        <row r="61">
          <cell r="B61">
            <v>3237</v>
          </cell>
        </row>
        <row r="62">
          <cell r="B62">
            <v>2659</v>
          </cell>
        </row>
        <row r="63">
          <cell r="B63">
            <v>4468</v>
          </cell>
        </row>
        <row r="64">
          <cell r="B64">
            <v>17600</v>
          </cell>
        </row>
        <row r="65">
          <cell r="B65">
            <v>10653</v>
          </cell>
        </row>
        <row r="66">
          <cell r="B66">
            <v>107712</v>
          </cell>
        </row>
        <row r="67">
          <cell r="B67">
            <v>12699</v>
          </cell>
        </row>
        <row r="68">
          <cell r="B68">
            <v>13389</v>
          </cell>
        </row>
        <row r="69">
          <cell r="B69">
            <v>4016</v>
          </cell>
        </row>
        <row r="70">
          <cell r="B70">
            <v>14072</v>
          </cell>
        </row>
        <row r="71">
          <cell r="B71">
            <v>799</v>
          </cell>
        </row>
        <row r="72">
          <cell r="B72">
            <v>19349</v>
          </cell>
        </row>
        <row r="73">
          <cell r="B73">
            <v>905</v>
          </cell>
        </row>
        <row r="74">
          <cell r="B74">
            <v>268465</v>
          </cell>
        </row>
        <row r="75">
          <cell r="B75">
            <v>12545</v>
          </cell>
        </row>
        <row r="76">
          <cell r="B76">
            <v>32744</v>
          </cell>
        </row>
        <row r="77">
          <cell r="B77">
            <v>865</v>
          </cell>
        </row>
        <row r="78">
          <cell r="B78">
            <v>789</v>
          </cell>
        </row>
        <row r="79">
          <cell r="B79">
            <v>7276</v>
          </cell>
        </row>
        <row r="80">
          <cell r="B80">
            <v>1536</v>
          </cell>
        </row>
        <row r="81">
          <cell r="B81">
            <v>81355</v>
          </cell>
        </row>
        <row r="82">
          <cell r="B82">
            <v>2074</v>
          </cell>
        </row>
        <row r="83">
          <cell r="B83">
            <v>23885</v>
          </cell>
        </row>
        <row r="84">
          <cell r="B84">
            <v>6302</v>
          </cell>
        </row>
        <row r="85">
          <cell r="B85">
            <v>3537</v>
          </cell>
        </row>
        <row r="86">
          <cell r="B86">
            <v>79517</v>
          </cell>
        </row>
        <row r="87">
          <cell r="B87">
            <v>2741</v>
          </cell>
        </row>
        <row r="88">
          <cell r="B88">
            <v>5564</v>
          </cell>
        </row>
        <row r="89">
          <cell r="B89">
            <v>4332</v>
          </cell>
        </row>
        <row r="90">
          <cell r="B90">
            <v>2505</v>
          </cell>
        </row>
        <row r="91">
          <cell r="B91">
            <v>7397</v>
          </cell>
        </row>
        <row r="92">
          <cell r="B92">
            <v>9744</v>
          </cell>
        </row>
        <row r="93">
          <cell r="B93">
            <v>270</v>
          </cell>
        </row>
        <row r="94">
          <cell r="B94">
            <v>137005</v>
          </cell>
        </row>
        <row r="95">
          <cell r="B95">
            <v>2552</v>
          </cell>
        </row>
        <row r="96">
          <cell r="B96">
            <v>4546</v>
          </cell>
        </row>
        <row r="97">
          <cell r="B97">
            <v>2470</v>
          </cell>
        </row>
        <row r="98">
          <cell r="B98">
            <v>431</v>
          </cell>
        </row>
        <row r="99">
          <cell r="B99">
            <v>6237</v>
          </cell>
        </row>
        <row r="100">
          <cell r="B100">
            <v>45094</v>
          </cell>
        </row>
        <row r="101">
          <cell r="B101">
            <v>7857</v>
          </cell>
        </row>
        <row r="102">
          <cell r="B102">
            <v>5737</v>
          </cell>
        </row>
        <row r="103">
          <cell r="B103">
            <v>3002</v>
          </cell>
        </row>
        <row r="104">
          <cell r="B104">
            <v>20832</v>
          </cell>
        </row>
        <row r="105">
          <cell r="B105">
            <v>1375</v>
          </cell>
        </row>
        <row r="106">
          <cell r="B106">
            <v>9102</v>
          </cell>
        </row>
        <row r="107">
          <cell r="B107">
            <v>67679</v>
          </cell>
        </row>
        <row r="108">
          <cell r="B108">
            <v>3655</v>
          </cell>
        </row>
        <row r="109">
          <cell r="B109">
            <v>3926</v>
          </cell>
        </row>
        <row r="110">
          <cell r="B110">
            <v>506</v>
          </cell>
        </row>
        <row r="111">
          <cell r="B111">
            <v>10860</v>
          </cell>
        </row>
        <row r="112">
          <cell r="B112">
            <v>6263</v>
          </cell>
        </row>
        <row r="113">
          <cell r="B113">
            <v>3921</v>
          </cell>
        </row>
        <row r="114">
          <cell r="B114">
            <v>1686</v>
          </cell>
        </row>
        <row r="115">
          <cell r="B115">
            <v>14705</v>
          </cell>
        </row>
        <row r="116">
          <cell r="B116">
            <v>944</v>
          </cell>
        </row>
        <row r="117">
          <cell r="B117">
            <v>8410</v>
          </cell>
        </row>
        <row r="118">
          <cell r="B118">
            <v>1921</v>
          </cell>
        </row>
        <row r="119">
          <cell r="B119">
            <v>472</v>
          </cell>
        </row>
        <row r="120">
          <cell r="B120">
            <v>3937</v>
          </cell>
        </row>
        <row r="121">
          <cell r="B121">
            <v>3099</v>
          </cell>
        </row>
        <row r="122">
          <cell r="B122">
            <v>258</v>
          </cell>
        </row>
        <row r="123">
          <cell r="B123">
            <v>3642</v>
          </cell>
        </row>
        <row r="124">
          <cell r="B124">
            <v>43889</v>
          </cell>
        </row>
        <row r="125">
          <cell r="B125">
            <v>891</v>
          </cell>
        </row>
        <row r="126">
          <cell r="B126">
            <v>45254</v>
          </cell>
        </row>
        <row r="127">
          <cell r="B127">
            <v>1422</v>
          </cell>
        </row>
        <row r="128">
          <cell r="B128">
            <v>1167</v>
          </cell>
        </row>
        <row r="129">
          <cell r="B129">
            <v>5212</v>
          </cell>
        </row>
        <row r="130">
          <cell r="B130">
            <v>6608</v>
          </cell>
        </row>
        <row r="131">
          <cell r="B131">
            <v>14686</v>
          </cell>
        </row>
        <row r="132">
          <cell r="B132">
            <v>26502</v>
          </cell>
        </row>
        <row r="133">
          <cell r="B133">
            <v>28687</v>
          </cell>
        </row>
        <row r="134">
          <cell r="B134">
            <v>13299</v>
          </cell>
        </row>
        <row r="135">
          <cell r="B135">
            <v>798</v>
          </cell>
        </row>
        <row r="136">
          <cell r="B136">
            <v>41492</v>
          </cell>
        </row>
        <row r="137">
          <cell r="B137">
            <v>29925</v>
          </cell>
        </row>
        <row r="138">
          <cell r="B138">
            <v>2761</v>
          </cell>
        </row>
        <row r="139">
          <cell r="B139">
            <v>2308</v>
          </cell>
        </row>
        <row r="140">
          <cell r="B140">
            <v>1129</v>
          </cell>
        </row>
        <row r="141">
          <cell r="B141">
            <v>1516</v>
          </cell>
        </row>
        <row r="142">
          <cell r="B142">
            <v>3285</v>
          </cell>
        </row>
        <row r="143">
          <cell r="B143">
            <v>35251</v>
          </cell>
        </row>
        <row r="144">
          <cell r="B144">
            <v>359</v>
          </cell>
        </row>
        <row r="145">
          <cell r="B145">
            <v>1974</v>
          </cell>
        </row>
        <row r="146">
          <cell r="B146">
            <v>19393</v>
          </cell>
        </row>
        <row r="147">
          <cell r="B147">
            <v>681</v>
          </cell>
        </row>
        <row r="148">
          <cell r="B148">
            <v>5507</v>
          </cell>
        </row>
        <row r="149">
          <cell r="B149">
            <v>4834</v>
          </cell>
        </row>
        <row r="150">
          <cell r="B150">
            <v>11415</v>
          </cell>
        </row>
        <row r="151">
          <cell r="B151">
            <v>12057</v>
          </cell>
        </row>
        <row r="152">
          <cell r="B152">
            <v>22738</v>
          </cell>
        </row>
        <row r="153">
          <cell r="B153">
            <v>4100</v>
          </cell>
        </row>
        <row r="154">
          <cell r="B154">
            <v>1309</v>
          </cell>
        </row>
        <row r="155">
          <cell r="B155">
            <v>3268</v>
          </cell>
        </row>
        <row r="156">
          <cell r="B156">
            <v>7028</v>
          </cell>
        </row>
        <row r="157">
          <cell r="B157">
            <v>17452</v>
          </cell>
        </row>
        <row r="158">
          <cell r="B158">
            <v>2985</v>
          </cell>
        </row>
        <row r="159">
          <cell r="B159">
            <v>4850</v>
          </cell>
        </row>
        <row r="160">
          <cell r="B160">
            <v>1257</v>
          </cell>
        </row>
        <row r="161">
          <cell r="B161">
            <v>2665</v>
          </cell>
        </row>
        <row r="162">
          <cell r="B162">
            <v>15403</v>
          </cell>
        </row>
        <row r="163">
          <cell r="B163">
            <v>1065</v>
          </cell>
        </row>
        <row r="164">
          <cell r="B164">
            <v>14098</v>
          </cell>
        </row>
        <row r="165">
          <cell r="B165">
            <v>357</v>
          </cell>
        </row>
        <row r="166">
          <cell r="B166">
            <v>948</v>
          </cell>
        </row>
        <row r="167">
          <cell r="B167">
            <v>3983</v>
          </cell>
        </row>
        <row r="168">
          <cell r="B168">
            <v>3101</v>
          </cell>
        </row>
        <row r="169">
          <cell r="B169">
            <v>753</v>
          </cell>
        </row>
        <row r="170">
          <cell r="B170">
            <v>667</v>
          </cell>
        </row>
        <row r="171">
          <cell r="B171">
            <v>2502</v>
          </cell>
        </row>
        <row r="172">
          <cell r="B172">
            <v>4923</v>
          </cell>
        </row>
        <row r="173">
          <cell r="B173">
            <v>23467</v>
          </cell>
        </row>
        <row r="174">
          <cell r="B174">
            <v>5133</v>
          </cell>
        </row>
        <row r="175">
          <cell r="B175">
            <v>11153</v>
          </cell>
        </row>
        <row r="176">
          <cell r="B176">
            <v>3144</v>
          </cell>
        </row>
        <row r="177">
          <cell r="B177">
            <v>1009</v>
          </cell>
        </row>
        <row r="178">
          <cell r="B178">
            <v>3235</v>
          </cell>
        </row>
        <row r="179">
          <cell r="B179">
            <v>144</v>
          </cell>
        </row>
        <row r="180">
          <cell r="B180">
            <v>2425</v>
          </cell>
        </row>
        <row r="181">
          <cell r="B181">
            <v>2709</v>
          </cell>
        </row>
        <row r="182">
          <cell r="B182">
            <v>14130</v>
          </cell>
        </row>
        <row r="183">
          <cell r="B183">
            <v>53974</v>
          </cell>
        </row>
        <row r="184">
          <cell r="B184">
            <v>128558</v>
          </cell>
        </row>
        <row r="185">
          <cell r="B185">
            <v>5559</v>
          </cell>
        </row>
        <row r="186">
          <cell r="B186">
            <v>28876</v>
          </cell>
        </row>
        <row r="187">
          <cell r="B187">
            <v>110849</v>
          </cell>
        </row>
        <row r="188">
          <cell r="B188">
            <v>3324</v>
          </cell>
        </row>
        <row r="189">
          <cell r="B189">
            <v>135</v>
          </cell>
        </row>
        <row r="190">
          <cell r="B190">
            <v>11745</v>
          </cell>
        </row>
        <row r="191">
          <cell r="B191">
            <v>44462</v>
          </cell>
        </row>
        <row r="192">
          <cell r="B192">
            <v>6913</v>
          </cell>
        </row>
        <row r="193">
          <cell r="B193">
            <v>3781</v>
          </cell>
        </row>
        <row r="194">
          <cell r="B194">
            <v>13722</v>
          </cell>
        </row>
        <row r="195">
          <cell r="B195">
            <v>18827</v>
          </cell>
        </row>
        <row r="196">
          <cell r="B196">
            <v>3296</v>
          </cell>
        </row>
        <row r="197">
          <cell r="B197">
            <v>25303</v>
          </cell>
        </row>
        <row r="198">
          <cell r="B198">
            <v>114</v>
          </cell>
        </row>
        <row r="199">
          <cell r="B199">
            <v>19044</v>
          </cell>
        </row>
        <row r="200">
          <cell r="B200">
            <v>31307</v>
          </cell>
        </row>
        <row r="201">
          <cell r="B201">
            <v>3572</v>
          </cell>
        </row>
        <row r="202">
          <cell r="B202">
            <v>3585</v>
          </cell>
        </row>
        <row r="203">
          <cell r="B203">
            <v>7995</v>
          </cell>
        </row>
        <row r="204">
          <cell r="B204">
            <v>2453</v>
          </cell>
        </row>
        <row r="205">
          <cell r="B205">
            <v>14520</v>
          </cell>
        </row>
        <row r="206">
          <cell r="B206">
            <v>2574</v>
          </cell>
        </row>
        <row r="207">
          <cell r="B207">
            <v>19304</v>
          </cell>
        </row>
        <row r="208">
          <cell r="B208">
            <v>800</v>
          </cell>
        </row>
        <row r="209">
          <cell r="B209">
            <v>12051</v>
          </cell>
        </row>
        <row r="210">
          <cell r="B210">
            <v>6629</v>
          </cell>
        </row>
        <row r="211">
          <cell r="B211">
            <v>6283</v>
          </cell>
        </row>
        <row r="212">
          <cell r="B212">
            <v>5726</v>
          </cell>
        </row>
        <row r="213">
          <cell r="B213">
            <v>2333</v>
          </cell>
        </row>
        <row r="214">
          <cell r="B214">
            <v>36103</v>
          </cell>
        </row>
        <row r="215">
          <cell r="B215">
            <v>9407</v>
          </cell>
        </row>
        <row r="216">
          <cell r="B216">
            <v>16977</v>
          </cell>
        </row>
        <row r="217">
          <cell r="B217">
            <v>30979</v>
          </cell>
        </row>
        <row r="218">
          <cell r="B218">
            <v>3363</v>
          </cell>
        </row>
        <row r="219">
          <cell r="B219">
            <v>10522</v>
          </cell>
        </row>
        <row r="220">
          <cell r="B220">
            <v>13242</v>
          </cell>
        </row>
        <row r="221">
          <cell r="B221">
            <v>12964</v>
          </cell>
        </row>
        <row r="222">
          <cell r="B222">
            <v>23085</v>
          </cell>
        </row>
        <row r="223">
          <cell r="B223">
            <v>887</v>
          </cell>
        </row>
        <row r="224">
          <cell r="B224">
            <v>16846</v>
          </cell>
        </row>
        <row r="225">
          <cell r="B225">
            <v>3404</v>
          </cell>
        </row>
        <row r="226">
          <cell r="B226">
            <v>1158</v>
          </cell>
        </row>
        <row r="227">
          <cell r="B227">
            <v>39238</v>
          </cell>
        </row>
        <row r="228">
          <cell r="B228">
            <v>8202</v>
          </cell>
        </row>
        <row r="229">
          <cell r="B229">
            <v>15562</v>
          </cell>
        </row>
        <row r="230">
          <cell r="B230">
            <v>6574</v>
          </cell>
        </row>
        <row r="231">
          <cell r="B231">
            <v>32278</v>
          </cell>
        </row>
        <row r="232">
          <cell r="B232">
            <v>9139</v>
          </cell>
        </row>
        <row r="233">
          <cell r="B233">
            <v>79882</v>
          </cell>
        </row>
        <row r="234">
          <cell r="B234">
            <v>10319</v>
          </cell>
        </row>
        <row r="235">
          <cell r="B235">
            <v>5357</v>
          </cell>
        </row>
        <row r="236">
          <cell r="B236">
            <v>3028</v>
          </cell>
        </row>
        <row r="237">
          <cell r="B237">
            <v>4931</v>
          </cell>
        </row>
        <row r="238">
          <cell r="B238">
            <v>6671</v>
          </cell>
        </row>
        <row r="239">
          <cell r="B239">
            <v>2625</v>
          </cell>
        </row>
        <row r="240">
          <cell r="B240">
            <v>1669</v>
          </cell>
        </row>
        <row r="241">
          <cell r="B241">
            <v>2904</v>
          </cell>
        </row>
        <row r="242">
          <cell r="B242">
            <v>496</v>
          </cell>
        </row>
        <row r="243">
          <cell r="B243">
            <v>14768</v>
          </cell>
        </row>
        <row r="244">
          <cell r="B244">
            <v>16982</v>
          </cell>
        </row>
        <row r="245">
          <cell r="B245">
            <v>3589</v>
          </cell>
        </row>
        <row r="246">
          <cell r="B246">
            <v>244953</v>
          </cell>
        </row>
        <row r="247">
          <cell r="B247">
            <v>9464</v>
          </cell>
        </row>
        <row r="248">
          <cell r="B248">
            <v>3444</v>
          </cell>
        </row>
        <row r="249">
          <cell r="B249">
            <v>5047</v>
          </cell>
        </row>
        <row r="250">
          <cell r="B250">
            <v>3280</v>
          </cell>
        </row>
        <row r="251">
          <cell r="B251">
            <v>874</v>
          </cell>
        </row>
        <row r="252">
          <cell r="B252">
            <v>6095</v>
          </cell>
        </row>
        <row r="253">
          <cell r="B253">
            <v>2575</v>
          </cell>
        </row>
        <row r="254">
          <cell r="B254">
            <v>7715</v>
          </cell>
        </row>
        <row r="255">
          <cell r="B255">
            <v>6894</v>
          </cell>
        </row>
        <row r="256">
          <cell r="B256">
            <v>209</v>
          </cell>
        </row>
        <row r="257">
          <cell r="B257">
            <v>44753</v>
          </cell>
        </row>
        <row r="258">
          <cell r="B258">
            <v>5349</v>
          </cell>
        </row>
        <row r="259">
          <cell r="B259">
            <v>8498</v>
          </cell>
        </row>
        <row r="260">
          <cell r="B260">
            <v>12492</v>
          </cell>
        </row>
        <row r="261">
          <cell r="B261">
            <v>25100</v>
          </cell>
        </row>
        <row r="262">
          <cell r="B262">
            <v>2679</v>
          </cell>
        </row>
        <row r="263">
          <cell r="B263">
            <v>32165</v>
          </cell>
        </row>
        <row r="264">
          <cell r="B264">
            <v>550</v>
          </cell>
        </row>
        <row r="265">
          <cell r="B265">
            <v>5782</v>
          </cell>
        </row>
        <row r="266">
          <cell r="B266">
            <v>19582</v>
          </cell>
        </row>
        <row r="267">
          <cell r="B267">
            <v>2146</v>
          </cell>
        </row>
        <row r="268">
          <cell r="B268">
            <v>3903</v>
          </cell>
        </row>
        <row r="269">
          <cell r="B269">
            <v>1281</v>
          </cell>
        </row>
        <row r="270">
          <cell r="B270">
            <v>4153</v>
          </cell>
        </row>
        <row r="271">
          <cell r="B271">
            <v>32210</v>
          </cell>
        </row>
        <row r="272">
          <cell r="B272">
            <v>7331</v>
          </cell>
        </row>
        <row r="273">
          <cell r="B273">
            <v>881</v>
          </cell>
        </row>
        <row r="274">
          <cell r="B274">
            <v>1293</v>
          </cell>
        </row>
        <row r="275">
          <cell r="B275">
            <v>1699</v>
          </cell>
        </row>
        <row r="276">
          <cell r="B276">
            <v>4318</v>
          </cell>
        </row>
        <row r="277">
          <cell r="B277">
            <v>10574</v>
          </cell>
        </row>
        <row r="278">
          <cell r="B278">
            <v>4628</v>
          </cell>
        </row>
        <row r="279">
          <cell r="B279">
            <v>3812</v>
          </cell>
        </row>
        <row r="280">
          <cell r="B280">
            <v>9394</v>
          </cell>
        </row>
        <row r="281">
          <cell r="B281">
            <v>70988</v>
          </cell>
        </row>
        <row r="282">
          <cell r="B282">
            <v>1241</v>
          </cell>
        </row>
        <row r="283">
          <cell r="B283">
            <v>1239</v>
          </cell>
        </row>
        <row r="284">
          <cell r="B284">
            <v>1333</v>
          </cell>
        </row>
        <row r="285">
          <cell r="B285">
            <v>11157</v>
          </cell>
        </row>
        <row r="286">
          <cell r="B286">
            <v>93389</v>
          </cell>
        </row>
        <row r="287">
          <cell r="B287">
            <v>16052</v>
          </cell>
        </row>
        <row r="288">
          <cell r="B288">
            <v>3364</v>
          </cell>
        </row>
        <row r="289">
          <cell r="B289">
            <v>13646</v>
          </cell>
        </row>
        <row r="290">
          <cell r="B290">
            <v>15918</v>
          </cell>
        </row>
        <row r="291">
          <cell r="B291">
            <v>19359</v>
          </cell>
        </row>
        <row r="292">
          <cell r="B292">
            <v>24230</v>
          </cell>
        </row>
        <row r="293">
          <cell r="B293">
            <v>8377</v>
          </cell>
        </row>
        <row r="294">
          <cell r="B294">
            <v>1709</v>
          </cell>
        </row>
        <row r="295">
          <cell r="B295">
            <v>9771</v>
          </cell>
        </row>
        <row r="296">
          <cell r="B296">
            <v>2758</v>
          </cell>
        </row>
        <row r="297">
          <cell r="B297">
            <v>11276</v>
          </cell>
        </row>
        <row r="298">
          <cell r="B298">
            <v>5670</v>
          </cell>
        </row>
        <row r="299">
          <cell r="B299">
            <v>517</v>
          </cell>
        </row>
        <row r="300">
          <cell r="B300">
            <v>401</v>
          </cell>
        </row>
        <row r="301">
          <cell r="B301">
            <v>823</v>
          </cell>
        </row>
        <row r="302">
          <cell r="B302">
            <v>266</v>
          </cell>
        </row>
        <row r="303">
          <cell r="B303">
            <v>4925</v>
          </cell>
        </row>
        <row r="304">
          <cell r="B304">
            <v>1032</v>
          </cell>
        </row>
        <row r="305">
          <cell r="B305">
            <v>1636</v>
          </cell>
        </row>
        <row r="306">
          <cell r="B306">
            <v>2270</v>
          </cell>
        </row>
        <row r="307">
          <cell r="B307">
            <v>29341</v>
          </cell>
        </row>
        <row r="308">
          <cell r="B308">
            <v>4632</v>
          </cell>
        </row>
        <row r="309">
          <cell r="B309">
            <v>1743</v>
          </cell>
        </row>
        <row r="310">
          <cell r="B310">
            <v>12667</v>
          </cell>
        </row>
        <row r="311">
          <cell r="B311">
            <v>2103</v>
          </cell>
        </row>
        <row r="312">
          <cell r="B312">
            <v>10725</v>
          </cell>
        </row>
        <row r="313">
          <cell r="B313">
            <v>3307</v>
          </cell>
        </row>
        <row r="314">
          <cell r="B314">
            <v>23869</v>
          </cell>
        </row>
        <row r="315">
          <cell r="B315">
            <v>6340</v>
          </cell>
        </row>
        <row r="316">
          <cell r="B316">
            <v>15672</v>
          </cell>
        </row>
        <row r="317">
          <cell r="B317">
            <v>4628</v>
          </cell>
        </row>
        <row r="318">
          <cell r="B318">
            <v>74163</v>
          </cell>
        </row>
        <row r="319">
          <cell r="B319">
            <v>10282</v>
          </cell>
        </row>
        <row r="320">
          <cell r="B320">
            <v>85822</v>
          </cell>
        </row>
        <row r="321">
          <cell r="B321">
            <v>94358</v>
          </cell>
        </row>
        <row r="322">
          <cell r="B322">
            <v>57404</v>
          </cell>
        </row>
        <row r="323">
          <cell r="B323">
            <v>5890</v>
          </cell>
        </row>
        <row r="324">
          <cell r="B324">
            <v>4902</v>
          </cell>
        </row>
        <row r="325">
          <cell r="B325">
            <v>302</v>
          </cell>
        </row>
        <row r="326">
          <cell r="B326">
            <v>695</v>
          </cell>
        </row>
        <row r="327">
          <cell r="B327">
            <v>8407</v>
          </cell>
        </row>
        <row r="328">
          <cell r="B328">
            <v>310</v>
          </cell>
        </row>
        <row r="329">
          <cell r="B329">
            <v>12316</v>
          </cell>
        </row>
        <row r="330">
          <cell r="B330">
            <v>475</v>
          </cell>
        </row>
        <row r="331">
          <cell r="B331">
            <v>3801</v>
          </cell>
        </row>
        <row r="332">
          <cell r="B332">
            <v>19077</v>
          </cell>
        </row>
        <row r="333">
          <cell r="B333">
            <v>2042</v>
          </cell>
        </row>
        <row r="334">
          <cell r="B334">
            <v>68987</v>
          </cell>
        </row>
        <row r="335">
          <cell r="B335">
            <v>10355</v>
          </cell>
        </row>
        <row r="336">
          <cell r="B336">
            <v>682572</v>
          </cell>
        </row>
        <row r="337">
          <cell r="B337">
            <v>5446</v>
          </cell>
        </row>
        <row r="338">
          <cell r="B338">
            <v>7516</v>
          </cell>
        </row>
        <row r="339">
          <cell r="B339">
            <v>215948</v>
          </cell>
        </row>
        <row r="340">
          <cell r="B340">
            <v>1261</v>
          </cell>
        </row>
        <row r="341">
          <cell r="B341">
            <v>345</v>
          </cell>
        </row>
        <row r="342">
          <cell r="B342">
            <v>3753</v>
          </cell>
        </row>
        <row r="343">
          <cell r="B343">
            <v>12021</v>
          </cell>
        </row>
        <row r="344">
          <cell r="B344">
            <v>2589</v>
          </cell>
        </row>
        <row r="345">
          <cell r="B345">
            <v>23439</v>
          </cell>
        </row>
        <row r="346">
          <cell r="B346">
            <v>8197</v>
          </cell>
        </row>
        <row r="347">
          <cell r="B347">
            <v>1547</v>
          </cell>
        </row>
        <row r="348">
          <cell r="B348">
            <v>8498</v>
          </cell>
        </row>
        <row r="349">
          <cell r="B349">
            <v>258</v>
          </cell>
        </row>
        <row r="350">
          <cell r="B350">
            <v>1446</v>
          </cell>
        </row>
        <row r="351">
          <cell r="B351">
            <v>2795</v>
          </cell>
        </row>
        <row r="352">
          <cell r="B352">
            <v>4299</v>
          </cell>
        </row>
        <row r="353">
          <cell r="B353">
            <v>17191</v>
          </cell>
        </row>
        <row r="354">
          <cell r="B354">
            <v>3445</v>
          </cell>
        </row>
        <row r="355">
          <cell r="B355">
            <v>128286</v>
          </cell>
        </row>
        <row r="356">
          <cell r="B356">
            <v>35277</v>
          </cell>
        </row>
        <row r="357">
          <cell r="B357">
            <v>15696</v>
          </cell>
        </row>
        <row r="358">
          <cell r="B358">
            <v>500</v>
          </cell>
        </row>
        <row r="359">
          <cell r="B359">
            <v>3419</v>
          </cell>
        </row>
        <row r="360">
          <cell r="B360">
            <v>16641</v>
          </cell>
        </row>
        <row r="361">
          <cell r="B361">
            <v>74977</v>
          </cell>
        </row>
        <row r="362">
          <cell r="B362">
            <v>9294</v>
          </cell>
        </row>
        <row r="363">
          <cell r="B363">
            <v>9492</v>
          </cell>
        </row>
        <row r="364">
          <cell r="B364">
            <v>9582</v>
          </cell>
        </row>
        <row r="365">
          <cell r="B365">
            <v>4615</v>
          </cell>
        </row>
        <row r="366">
          <cell r="B366">
            <v>21854</v>
          </cell>
        </row>
        <row r="367">
          <cell r="B367">
            <v>157383</v>
          </cell>
        </row>
        <row r="368">
          <cell r="B368">
            <v>742</v>
          </cell>
        </row>
        <row r="369">
          <cell r="B369">
            <v>7471</v>
          </cell>
        </row>
        <row r="370">
          <cell r="B370">
            <v>13476</v>
          </cell>
        </row>
        <row r="371">
          <cell r="B371">
            <v>56083</v>
          </cell>
        </row>
        <row r="372">
          <cell r="B372">
            <v>3367</v>
          </cell>
        </row>
        <row r="373">
          <cell r="B373">
            <v>14501</v>
          </cell>
        </row>
        <row r="374">
          <cell r="B374">
            <v>32398</v>
          </cell>
        </row>
        <row r="375">
          <cell r="B375">
            <v>3373</v>
          </cell>
        </row>
        <row r="376">
          <cell r="B376">
            <v>1724</v>
          </cell>
        </row>
        <row r="377">
          <cell r="B377">
            <v>9958</v>
          </cell>
        </row>
        <row r="378">
          <cell r="B378">
            <v>742</v>
          </cell>
        </row>
        <row r="379">
          <cell r="B379">
            <v>1104</v>
          </cell>
        </row>
        <row r="380">
          <cell r="B380">
            <v>472</v>
          </cell>
        </row>
        <row r="381">
          <cell r="B381">
            <v>1843</v>
          </cell>
        </row>
        <row r="382">
          <cell r="B382">
            <v>119</v>
          </cell>
        </row>
        <row r="383">
          <cell r="B383">
            <v>13457</v>
          </cell>
        </row>
        <row r="384">
          <cell r="B384">
            <v>21529</v>
          </cell>
        </row>
        <row r="385">
          <cell r="B385">
            <v>14157</v>
          </cell>
        </row>
        <row r="386">
          <cell r="B386">
            <v>31713</v>
          </cell>
        </row>
        <row r="387">
          <cell r="B387">
            <v>18782</v>
          </cell>
        </row>
        <row r="388">
          <cell r="B388">
            <v>1082</v>
          </cell>
        </row>
        <row r="389">
          <cell r="B389">
            <v>23345</v>
          </cell>
        </row>
        <row r="390">
          <cell r="B390">
            <v>3153</v>
          </cell>
        </row>
        <row r="391">
          <cell r="B391">
            <v>10417</v>
          </cell>
        </row>
        <row r="392">
          <cell r="B392">
            <v>18415</v>
          </cell>
        </row>
        <row r="393">
          <cell r="B393">
            <v>7817</v>
          </cell>
        </row>
        <row r="394">
          <cell r="B394">
            <v>2814</v>
          </cell>
        </row>
        <row r="395">
          <cell r="B395">
            <v>4568</v>
          </cell>
        </row>
        <row r="396">
          <cell r="B396">
            <v>7797</v>
          </cell>
        </row>
        <row r="397">
          <cell r="B397">
            <v>1723</v>
          </cell>
        </row>
        <row r="398">
          <cell r="B398">
            <v>2922</v>
          </cell>
        </row>
        <row r="399">
          <cell r="B399">
            <v>34458</v>
          </cell>
        </row>
        <row r="400">
          <cell r="B400">
            <v>1878</v>
          </cell>
        </row>
        <row r="401">
          <cell r="B401">
            <v>86272</v>
          </cell>
        </row>
        <row r="402">
          <cell r="B402">
            <v>3258</v>
          </cell>
        </row>
        <row r="403">
          <cell r="B403">
            <v>3180</v>
          </cell>
        </row>
        <row r="404">
          <cell r="B404">
            <v>96664</v>
          </cell>
        </row>
        <row r="405">
          <cell r="B405">
            <v>7411</v>
          </cell>
        </row>
        <row r="406">
          <cell r="B406">
            <v>3561</v>
          </cell>
        </row>
        <row r="407">
          <cell r="B407">
            <v>1463</v>
          </cell>
        </row>
        <row r="408">
          <cell r="B408">
            <v>6312</v>
          </cell>
        </row>
        <row r="409">
          <cell r="B409">
            <v>3977</v>
          </cell>
        </row>
        <row r="410">
          <cell r="B410">
            <v>3491</v>
          </cell>
        </row>
        <row r="411">
          <cell r="B411">
            <v>25872</v>
          </cell>
        </row>
        <row r="412">
          <cell r="B412">
            <v>71210</v>
          </cell>
        </row>
        <row r="413">
          <cell r="B413">
            <v>3975</v>
          </cell>
        </row>
        <row r="414">
          <cell r="B414">
            <v>1836</v>
          </cell>
        </row>
        <row r="415">
          <cell r="B415">
            <v>39832</v>
          </cell>
        </row>
        <row r="416">
          <cell r="B416">
            <v>8877</v>
          </cell>
        </row>
        <row r="417">
          <cell r="B417">
            <v>2055</v>
          </cell>
        </row>
        <row r="418">
          <cell r="B418">
            <v>3191</v>
          </cell>
        </row>
        <row r="419">
          <cell r="B419">
            <v>1583</v>
          </cell>
        </row>
        <row r="420">
          <cell r="B420">
            <v>7424</v>
          </cell>
        </row>
        <row r="421">
          <cell r="B421">
            <v>6100</v>
          </cell>
        </row>
        <row r="422">
          <cell r="B422">
            <v>6115</v>
          </cell>
        </row>
        <row r="423">
          <cell r="B423">
            <v>8546</v>
          </cell>
        </row>
        <row r="424">
          <cell r="B424">
            <v>246</v>
          </cell>
        </row>
        <row r="425">
          <cell r="B425">
            <v>16185</v>
          </cell>
        </row>
        <row r="426">
          <cell r="B426">
            <v>966</v>
          </cell>
        </row>
        <row r="427">
          <cell r="B427">
            <v>2996</v>
          </cell>
        </row>
        <row r="428">
          <cell r="B428">
            <v>2985</v>
          </cell>
        </row>
        <row r="429">
          <cell r="B429">
            <v>270088</v>
          </cell>
        </row>
        <row r="430">
          <cell r="B430">
            <v>425</v>
          </cell>
        </row>
        <row r="431">
          <cell r="B431">
            <v>104365</v>
          </cell>
        </row>
        <row r="432">
          <cell r="B432">
            <v>3244</v>
          </cell>
        </row>
        <row r="433">
          <cell r="B433">
            <v>1326</v>
          </cell>
        </row>
        <row r="434">
          <cell r="B434">
            <v>111914</v>
          </cell>
        </row>
        <row r="435">
          <cell r="B435">
            <v>29634</v>
          </cell>
        </row>
        <row r="436">
          <cell r="B436">
            <v>17983</v>
          </cell>
        </row>
        <row r="437">
          <cell r="B437">
            <v>38463</v>
          </cell>
        </row>
        <row r="438">
          <cell r="B438">
            <v>2801</v>
          </cell>
        </row>
        <row r="439">
          <cell r="B439">
            <v>881</v>
          </cell>
        </row>
        <row r="440">
          <cell r="B440">
            <v>30166</v>
          </cell>
        </row>
        <row r="441">
          <cell r="B441">
            <v>881</v>
          </cell>
        </row>
        <row r="442">
          <cell r="B442">
            <v>210</v>
          </cell>
        </row>
        <row r="443">
          <cell r="B443">
            <v>4253</v>
          </cell>
        </row>
        <row r="444">
          <cell r="B444">
            <v>37090</v>
          </cell>
        </row>
        <row r="445">
          <cell r="B445">
            <v>8035</v>
          </cell>
        </row>
        <row r="446">
          <cell r="B446">
            <v>1458</v>
          </cell>
        </row>
        <row r="447">
          <cell r="B447">
            <v>16428</v>
          </cell>
        </row>
        <row r="448">
          <cell r="B448">
            <v>5442</v>
          </cell>
        </row>
        <row r="449">
          <cell r="B449">
            <v>11137</v>
          </cell>
        </row>
        <row r="450">
          <cell r="B450">
            <v>5326</v>
          </cell>
        </row>
        <row r="451">
          <cell r="B451">
            <v>23946</v>
          </cell>
        </row>
        <row r="452">
          <cell r="B452">
            <v>1881</v>
          </cell>
        </row>
        <row r="453">
          <cell r="B453">
            <v>15157</v>
          </cell>
        </row>
        <row r="454">
          <cell r="B454">
            <v>10038</v>
          </cell>
        </row>
        <row r="455">
          <cell r="B455">
            <v>2344</v>
          </cell>
        </row>
        <row r="456">
          <cell r="B456">
            <v>4309</v>
          </cell>
        </row>
        <row r="457">
          <cell r="B457">
            <v>11660</v>
          </cell>
        </row>
        <row r="458">
          <cell r="B458">
            <v>68830</v>
          </cell>
        </row>
        <row r="459">
          <cell r="B459">
            <v>30000</v>
          </cell>
        </row>
        <row r="460">
          <cell r="B460">
            <v>29808</v>
          </cell>
        </row>
        <row r="461">
          <cell r="B461">
            <v>3302</v>
          </cell>
        </row>
        <row r="462">
          <cell r="B462">
            <v>3258</v>
          </cell>
        </row>
        <row r="463">
          <cell r="B463">
            <v>41144</v>
          </cell>
        </row>
        <row r="464">
          <cell r="B464">
            <v>1094</v>
          </cell>
        </row>
        <row r="465">
          <cell r="B465">
            <v>22442</v>
          </cell>
        </row>
        <row r="466">
          <cell r="B466">
            <v>6248</v>
          </cell>
        </row>
        <row r="467">
          <cell r="B467">
            <v>8826</v>
          </cell>
        </row>
        <row r="468">
          <cell r="B468">
            <v>20310</v>
          </cell>
        </row>
        <row r="469">
          <cell r="B469">
            <v>7378</v>
          </cell>
        </row>
        <row r="470">
          <cell r="B470">
            <v>15992</v>
          </cell>
        </row>
        <row r="471">
          <cell r="B471">
            <v>1988</v>
          </cell>
        </row>
        <row r="472">
          <cell r="B472">
            <v>1422</v>
          </cell>
        </row>
        <row r="473">
          <cell r="B473">
            <v>11831</v>
          </cell>
        </row>
        <row r="474">
          <cell r="B474">
            <v>8040</v>
          </cell>
        </row>
        <row r="475">
          <cell r="B475">
            <v>114935</v>
          </cell>
        </row>
        <row r="476">
          <cell r="B476">
            <v>2351</v>
          </cell>
        </row>
        <row r="477">
          <cell r="B477">
            <v>39369</v>
          </cell>
        </row>
        <row r="478">
          <cell r="B478">
            <v>15746</v>
          </cell>
        </row>
        <row r="479">
          <cell r="B479">
            <v>7016</v>
          </cell>
        </row>
        <row r="480">
          <cell r="B480">
            <v>9098</v>
          </cell>
        </row>
        <row r="481">
          <cell r="B481">
            <v>11331</v>
          </cell>
        </row>
        <row r="482">
          <cell r="B482">
            <v>24809</v>
          </cell>
        </row>
        <row r="483">
          <cell r="B483">
            <v>1929</v>
          </cell>
        </row>
        <row r="484">
          <cell r="B484">
            <v>568</v>
          </cell>
        </row>
        <row r="485">
          <cell r="B485">
            <v>15784</v>
          </cell>
        </row>
        <row r="486">
          <cell r="B486">
            <v>126654</v>
          </cell>
        </row>
        <row r="487">
          <cell r="B487">
            <v>8252</v>
          </cell>
        </row>
        <row r="488">
          <cell r="B488">
            <v>5083</v>
          </cell>
        </row>
        <row r="489">
          <cell r="B489">
            <v>23239</v>
          </cell>
        </row>
        <row r="490">
          <cell r="B490">
            <v>2312</v>
          </cell>
        </row>
        <row r="491">
          <cell r="B491">
            <v>15645</v>
          </cell>
        </row>
        <row r="492">
          <cell r="B492">
            <v>24768</v>
          </cell>
        </row>
        <row r="493">
          <cell r="B493">
            <v>30698</v>
          </cell>
        </row>
        <row r="494">
          <cell r="B494">
            <v>2015</v>
          </cell>
        </row>
        <row r="495">
          <cell r="B495">
            <v>9697</v>
          </cell>
        </row>
        <row r="496">
          <cell r="B496">
            <v>4893</v>
          </cell>
        </row>
        <row r="497">
          <cell r="B497">
            <v>19975</v>
          </cell>
        </row>
        <row r="498">
          <cell r="B498">
            <v>21326</v>
          </cell>
        </row>
        <row r="499">
          <cell r="B499">
            <v>183939</v>
          </cell>
        </row>
        <row r="500">
          <cell r="B500">
            <v>4526</v>
          </cell>
        </row>
        <row r="501">
          <cell r="B501">
            <v>10551</v>
          </cell>
        </row>
        <row r="502">
          <cell r="B502">
            <v>19255</v>
          </cell>
        </row>
        <row r="503">
          <cell r="B503">
            <v>35162</v>
          </cell>
        </row>
        <row r="504">
          <cell r="B504">
            <v>104499</v>
          </cell>
        </row>
        <row r="505">
          <cell r="B505">
            <v>48579</v>
          </cell>
        </row>
        <row r="506">
          <cell r="B506">
            <v>901</v>
          </cell>
        </row>
        <row r="507">
          <cell r="B507">
            <v>41323</v>
          </cell>
        </row>
        <row r="508">
          <cell r="B508">
            <v>7964</v>
          </cell>
        </row>
        <row r="509">
          <cell r="B509">
            <v>84527</v>
          </cell>
        </row>
        <row r="510">
          <cell r="B510">
            <v>40024</v>
          </cell>
        </row>
        <row r="511">
          <cell r="B511">
            <v>9028</v>
          </cell>
        </row>
        <row r="512">
          <cell r="B512">
            <v>6631</v>
          </cell>
        </row>
        <row r="513">
          <cell r="B513">
            <v>1625</v>
          </cell>
        </row>
        <row r="514">
          <cell r="B514">
            <v>121875</v>
          </cell>
        </row>
        <row r="515">
          <cell r="B515">
            <v>6565</v>
          </cell>
        </row>
        <row r="516">
          <cell r="B516">
            <v>15455</v>
          </cell>
        </row>
        <row r="517">
          <cell r="B517">
            <v>29873</v>
          </cell>
        </row>
        <row r="518">
          <cell r="B518">
            <v>181294</v>
          </cell>
        </row>
        <row r="519">
          <cell r="B519">
            <v>2663</v>
          </cell>
        </row>
        <row r="520">
          <cell r="B520">
            <v>2113</v>
          </cell>
        </row>
        <row r="521">
          <cell r="B521">
            <v>1516</v>
          </cell>
        </row>
        <row r="522">
          <cell r="B522">
            <v>86681</v>
          </cell>
        </row>
        <row r="523">
          <cell r="B523">
            <v>10291</v>
          </cell>
        </row>
        <row r="524">
          <cell r="B524">
            <v>1411</v>
          </cell>
        </row>
        <row r="525">
          <cell r="B525">
            <v>38858</v>
          </cell>
        </row>
        <row r="526">
          <cell r="B526">
            <v>28900</v>
          </cell>
        </row>
        <row r="527">
          <cell r="B527">
            <v>211418</v>
          </cell>
        </row>
        <row r="528">
          <cell r="B528">
            <v>48943</v>
          </cell>
        </row>
        <row r="529">
          <cell r="B529">
            <v>11243</v>
          </cell>
        </row>
        <row r="530">
          <cell r="B530">
            <v>4833</v>
          </cell>
        </row>
        <row r="531">
          <cell r="B531">
            <v>1388</v>
          </cell>
        </row>
        <row r="532">
          <cell r="B532">
            <v>10503</v>
          </cell>
        </row>
        <row r="533">
          <cell r="B533">
            <v>105625</v>
          </cell>
        </row>
        <row r="534">
          <cell r="B534">
            <v>52814</v>
          </cell>
        </row>
        <row r="535">
          <cell r="B535">
            <v>2270</v>
          </cell>
        </row>
        <row r="536">
          <cell r="B536">
            <v>8231</v>
          </cell>
        </row>
        <row r="537">
          <cell r="B537">
            <v>214</v>
          </cell>
        </row>
        <row r="538">
          <cell r="B538">
            <v>1605</v>
          </cell>
        </row>
        <row r="539">
          <cell r="B539">
            <v>195</v>
          </cell>
        </row>
        <row r="540">
          <cell r="B540">
            <v>14767</v>
          </cell>
        </row>
        <row r="541">
          <cell r="B541">
            <v>20095</v>
          </cell>
        </row>
        <row r="542">
          <cell r="B542">
            <v>9435</v>
          </cell>
        </row>
        <row r="543">
          <cell r="B543">
            <v>14188</v>
          </cell>
        </row>
        <row r="544">
          <cell r="B544">
            <v>18726</v>
          </cell>
        </row>
        <row r="545">
          <cell r="B545">
            <v>3769</v>
          </cell>
        </row>
        <row r="546">
          <cell r="B546">
            <v>9416</v>
          </cell>
        </row>
        <row r="547">
          <cell r="B547">
            <v>1423</v>
          </cell>
        </row>
        <row r="548">
          <cell r="B548">
            <v>1887</v>
          </cell>
        </row>
        <row r="549">
          <cell r="B549">
            <v>10715</v>
          </cell>
        </row>
        <row r="550">
          <cell r="B550">
            <v>5207</v>
          </cell>
        </row>
        <row r="551">
          <cell r="B551">
            <v>4409</v>
          </cell>
        </row>
        <row r="552">
          <cell r="B552">
            <v>2739</v>
          </cell>
        </row>
        <row r="553">
          <cell r="B553">
            <v>4635</v>
          </cell>
        </row>
        <row r="554">
          <cell r="B554">
            <v>1005</v>
          </cell>
        </row>
        <row r="555">
          <cell r="B555">
            <v>18371</v>
          </cell>
        </row>
        <row r="556">
          <cell r="B556">
            <v>5811</v>
          </cell>
        </row>
        <row r="557">
          <cell r="B557">
            <v>17853</v>
          </cell>
        </row>
        <row r="558">
          <cell r="B558">
            <v>6844</v>
          </cell>
        </row>
        <row r="559">
          <cell r="B559">
            <v>2355</v>
          </cell>
        </row>
        <row r="560">
          <cell r="B560">
            <v>172</v>
          </cell>
        </row>
        <row r="561">
          <cell r="B561">
            <v>56725</v>
          </cell>
        </row>
        <row r="562">
          <cell r="B562">
            <v>3088</v>
          </cell>
        </row>
        <row r="563">
          <cell r="B563">
            <v>73215</v>
          </cell>
        </row>
        <row r="564">
          <cell r="B564">
            <v>48617</v>
          </cell>
        </row>
        <row r="565">
          <cell r="B565">
            <v>9096</v>
          </cell>
        </row>
        <row r="566">
          <cell r="B566">
            <v>65620</v>
          </cell>
        </row>
        <row r="567">
          <cell r="B567">
            <v>45254</v>
          </cell>
        </row>
        <row r="568">
          <cell r="B568">
            <v>87</v>
          </cell>
        </row>
        <row r="569">
          <cell r="B569">
            <v>5166</v>
          </cell>
        </row>
        <row r="570">
          <cell r="B570">
            <v>2226</v>
          </cell>
        </row>
        <row r="571">
          <cell r="B571">
            <v>232</v>
          </cell>
        </row>
        <row r="572">
          <cell r="B572">
            <v>3387</v>
          </cell>
        </row>
        <row r="573">
          <cell r="B573">
            <v>62046</v>
          </cell>
        </row>
        <row r="574">
          <cell r="B574">
            <v>6023</v>
          </cell>
        </row>
        <row r="575">
          <cell r="B575">
            <v>4183</v>
          </cell>
        </row>
        <row r="576">
          <cell r="B576">
            <v>22764</v>
          </cell>
        </row>
        <row r="577">
          <cell r="B577">
            <v>69672</v>
          </cell>
        </row>
        <row r="578">
          <cell r="B578">
            <v>119762</v>
          </cell>
        </row>
        <row r="579">
          <cell r="B579">
            <v>4552</v>
          </cell>
        </row>
        <row r="580">
          <cell r="B580">
            <v>1133</v>
          </cell>
        </row>
        <row r="581">
          <cell r="B581">
            <v>28958</v>
          </cell>
        </row>
        <row r="582">
          <cell r="B582">
            <v>432</v>
          </cell>
        </row>
        <row r="583">
          <cell r="B583">
            <v>57921</v>
          </cell>
        </row>
        <row r="584">
          <cell r="B584">
            <v>6705</v>
          </cell>
        </row>
        <row r="585">
          <cell r="B585">
            <v>889</v>
          </cell>
        </row>
        <row r="586">
          <cell r="B586">
            <v>2080</v>
          </cell>
        </row>
        <row r="587">
          <cell r="B587">
            <v>12964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7"/>
  <sheetViews>
    <sheetView tabSelected="1" topLeftCell="H37" zoomScaleNormal="100" workbookViewId="0">
      <selection activeCell="AA49" sqref="AA49"/>
    </sheetView>
  </sheetViews>
  <sheetFormatPr defaultRowHeight="15" x14ac:dyDescent="0.25"/>
  <cols>
    <col min="2" max="2" width="10" customWidth="1"/>
    <col min="8" max="8" width="33.42578125" customWidth="1"/>
    <col min="13" max="13" width="7" customWidth="1"/>
    <col min="14" max="14" width="15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25">
      <c r="A2" t="s">
        <v>25</v>
      </c>
      <c r="B2">
        <v>416</v>
      </c>
      <c r="C2" t="s">
        <v>26</v>
      </c>
      <c r="D2" t="s">
        <v>27</v>
      </c>
      <c r="E2" t="s">
        <v>28</v>
      </c>
      <c r="F2" s="1">
        <v>10297</v>
      </c>
      <c r="G2">
        <v>1</v>
      </c>
      <c r="H2" t="s">
        <v>29</v>
      </c>
      <c r="I2" t="s">
        <v>17</v>
      </c>
      <c r="J2" t="s">
        <v>30</v>
      </c>
      <c r="N2" t="s">
        <v>18</v>
      </c>
      <c r="O2">
        <f>SUMIF(J2:J587,"Interfacing",B2:B587)</f>
        <v>5923869</v>
      </c>
      <c r="P2">
        <v>222</v>
      </c>
    </row>
    <row r="3" spans="1:16" x14ac:dyDescent="0.25">
      <c r="A3" t="s">
        <v>56</v>
      </c>
      <c r="B3" s="1">
        <v>2472</v>
      </c>
      <c r="C3" t="s">
        <v>57</v>
      </c>
      <c r="D3" t="s">
        <v>58</v>
      </c>
      <c r="E3" t="s">
        <v>59</v>
      </c>
      <c r="F3" s="1">
        <v>10769</v>
      </c>
      <c r="G3">
        <v>3</v>
      </c>
      <c r="H3" t="s">
        <v>60</v>
      </c>
      <c r="I3" t="s">
        <v>17</v>
      </c>
      <c r="J3" t="s">
        <v>30</v>
      </c>
      <c r="N3" t="s">
        <v>30</v>
      </c>
      <c r="O3">
        <f>SUMIF(J2:J587,"Build",B2:B587)</f>
        <v>698278</v>
      </c>
      <c r="P3">
        <v>90</v>
      </c>
    </row>
    <row r="4" spans="1:16" x14ac:dyDescent="0.25">
      <c r="A4" t="s">
        <v>169</v>
      </c>
      <c r="B4">
        <v>892</v>
      </c>
      <c r="C4" t="s">
        <v>170</v>
      </c>
      <c r="D4" t="s">
        <v>171</v>
      </c>
      <c r="E4" t="s">
        <v>172</v>
      </c>
      <c r="F4" s="1">
        <v>14830</v>
      </c>
      <c r="G4">
        <v>4</v>
      </c>
      <c r="H4" t="s">
        <v>173</v>
      </c>
      <c r="I4" t="s">
        <v>174</v>
      </c>
      <c r="J4" t="s">
        <v>30</v>
      </c>
      <c r="N4" t="s">
        <v>36</v>
      </c>
      <c r="O4">
        <f>SUMIF(J2:J587,"Data handling",B2:B587)</f>
        <v>2719121</v>
      </c>
      <c r="P4">
        <v>174</v>
      </c>
    </row>
    <row r="5" spans="1:16" x14ac:dyDescent="0.25">
      <c r="A5" t="s">
        <v>220</v>
      </c>
      <c r="B5">
        <v>667</v>
      </c>
      <c r="C5" t="s">
        <v>221</v>
      </c>
      <c r="D5" t="s">
        <v>222</v>
      </c>
      <c r="E5" t="s">
        <v>223</v>
      </c>
      <c r="F5" s="1">
        <v>17967</v>
      </c>
      <c r="G5">
        <v>1</v>
      </c>
      <c r="H5" t="s">
        <v>224</v>
      </c>
      <c r="I5" t="s">
        <v>225</v>
      </c>
      <c r="J5" t="s">
        <v>30</v>
      </c>
      <c r="N5" t="s">
        <v>138</v>
      </c>
      <c r="O5">
        <f>SUMIF(J2:J587,"Embedding",B2:B587)</f>
        <v>1770204</v>
      </c>
      <c r="P5">
        <v>47</v>
      </c>
    </row>
    <row r="6" spans="1:16" x14ac:dyDescent="0.25">
      <c r="A6" t="s">
        <v>252</v>
      </c>
      <c r="B6" s="1">
        <v>1460</v>
      </c>
      <c r="C6" t="s">
        <v>253</v>
      </c>
      <c r="D6" t="s">
        <v>254</v>
      </c>
      <c r="E6" t="s">
        <v>255</v>
      </c>
      <c r="F6" s="1">
        <v>19448</v>
      </c>
      <c r="G6">
        <v>1</v>
      </c>
      <c r="H6" t="s">
        <v>256</v>
      </c>
      <c r="I6" t="s">
        <v>225</v>
      </c>
      <c r="J6" t="s">
        <v>30</v>
      </c>
      <c r="N6" t="s">
        <v>102</v>
      </c>
      <c r="O6">
        <f>SUMIF(J2:J587,"Error/Exception handling",B2:B587)</f>
        <v>27678</v>
      </c>
      <c r="P6">
        <v>10</v>
      </c>
    </row>
    <row r="7" spans="1:16" x14ac:dyDescent="0.25">
      <c r="A7" t="s">
        <v>262</v>
      </c>
      <c r="B7" s="1">
        <v>8476</v>
      </c>
      <c r="C7" t="s">
        <v>263</v>
      </c>
      <c r="D7" t="s">
        <v>264</v>
      </c>
      <c r="E7" t="s">
        <v>265</v>
      </c>
      <c r="F7" s="1">
        <v>20838</v>
      </c>
      <c r="G7">
        <v>4</v>
      </c>
      <c r="H7" t="s">
        <v>266</v>
      </c>
      <c r="I7" t="s">
        <v>225</v>
      </c>
      <c r="J7" t="s">
        <v>30</v>
      </c>
      <c r="N7" t="s">
        <v>366</v>
      </c>
      <c r="O7">
        <f>SUMIF(J2:J587,"Security",B2:B587)</f>
        <v>42970</v>
      </c>
      <c r="P7">
        <v>8</v>
      </c>
    </row>
    <row r="8" spans="1:16" x14ac:dyDescent="0.25">
      <c r="A8" t="s">
        <v>288</v>
      </c>
      <c r="B8" s="1">
        <v>1176</v>
      </c>
      <c r="C8" t="s">
        <v>289</v>
      </c>
      <c r="D8" t="s">
        <v>290</v>
      </c>
      <c r="E8" t="s">
        <v>291</v>
      </c>
      <c r="F8" s="1">
        <v>22922</v>
      </c>
      <c r="G8">
        <v>2</v>
      </c>
      <c r="H8" t="s">
        <v>292</v>
      </c>
      <c r="I8" t="s">
        <v>17</v>
      </c>
      <c r="J8" t="s">
        <v>30</v>
      </c>
      <c r="N8" t="s">
        <v>504</v>
      </c>
      <c r="O8">
        <f>SUMIF(J2:J587,"Efficiency/Performance",B2:B587)</f>
        <v>119466</v>
      </c>
      <c r="P8">
        <v>14</v>
      </c>
    </row>
    <row r="9" spans="1:16" x14ac:dyDescent="0.25">
      <c r="A9" t="s">
        <v>302</v>
      </c>
      <c r="B9" s="1">
        <v>6988</v>
      </c>
      <c r="C9" t="s">
        <v>303</v>
      </c>
      <c r="D9" t="s">
        <v>304</v>
      </c>
      <c r="E9" t="s">
        <v>305</v>
      </c>
      <c r="F9" s="1">
        <v>23265</v>
      </c>
      <c r="G9">
        <v>2</v>
      </c>
      <c r="H9" t="s">
        <v>306</v>
      </c>
      <c r="I9" t="s">
        <v>17</v>
      </c>
      <c r="J9" t="s">
        <v>30</v>
      </c>
      <c r="N9" t="s">
        <v>236</v>
      </c>
      <c r="O9">
        <f>SUMIF(J2:J587,"Language choice",B2:B587)</f>
        <v>515489</v>
      </c>
      <c r="P9">
        <v>21</v>
      </c>
    </row>
    <row r="10" spans="1:16" x14ac:dyDescent="0.25">
      <c r="A10" t="s">
        <v>317</v>
      </c>
      <c r="B10" s="1">
        <v>1433</v>
      </c>
      <c r="C10" t="s">
        <v>318</v>
      </c>
      <c r="D10" t="s">
        <v>319</v>
      </c>
      <c r="E10" t="s">
        <v>320</v>
      </c>
      <c r="F10" s="1">
        <v>24993</v>
      </c>
      <c r="G10">
        <v>1</v>
      </c>
      <c r="H10" t="s">
        <v>321</v>
      </c>
      <c r="I10" t="s">
        <v>174</v>
      </c>
      <c r="J10" t="s">
        <v>30</v>
      </c>
    </row>
    <row r="11" spans="1:16" x14ac:dyDescent="0.25">
      <c r="A11" t="s">
        <v>332</v>
      </c>
      <c r="B11" s="1">
        <v>4468</v>
      </c>
      <c r="C11" t="s">
        <v>333</v>
      </c>
      <c r="D11" t="s">
        <v>334</v>
      </c>
      <c r="E11" t="s">
        <v>335</v>
      </c>
      <c r="F11" s="1">
        <v>26607</v>
      </c>
      <c r="G11">
        <v>5</v>
      </c>
      <c r="H11" t="s">
        <v>336</v>
      </c>
      <c r="I11" t="s">
        <v>17</v>
      </c>
      <c r="J11" t="s">
        <v>30</v>
      </c>
    </row>
    <row r="12" spans="1:16" x14ac:dyDescent="0.25">
      <c r="A12" t="s">
        <v>367</v>
      </c>
      <c r="B12" s="1">
        <v>14072</v>
      </c>
      <c r="C12" t="s">
        <v>368</v>
      </c>
      <c r="D12" t="s">
        <v>369</v>
      </c>
      <c r="E12" t="s">
        <v>370</v>
      </c>
      <c r="F12" s="1">
        <v>30903</v>
      </c>
      <c r="G12">
        <v>10</v>
      </c>
      <c r="H12" t="s">
        <v>371</v>
      </c>
      <c r="I12" t="s">
        <v>225</v>
      </c>
      <c r="J12" t="s">
        <v>30</v>
      </c>
    </row>
    <row r="13" spans="1:16" x14ac:dyDescent="0.25">
      <c r="A13" t="s">
        <v>372</v>
      </c>
      <c r="B13">
        <v>799</v>
      </c>
      <c r="C13" t="s">
        <v>373</v>
      </c>
      <c r="D13" t="s">
        <v>374</v>
      </c>
      <c r="E13" t="s">
        <v>375</v>
      </c>
      <c r="F13" s="1">
        <v>32247</v>
      </c>
      <c r="G13">
        <v>4</v>
      </c>
      <c r="H13" t="s">
        <v>376</v>
      </c>
      <c r="I13" t="s">
        <v>17</v>
      </c>
      <c r="J13" t="s">
        <v>30</v>
      </c>
    </row>
    <row r="14" spans="1:16" x14ac:dyDescent="0.25">
      <c r="A14" t="s">
        <v>377</v>
      </c>
      <c r="B14" s="1">
        <v>19349</v>
      </c>
      <c r="C14" t="s">
        <v>378</v>
      </c>
      <c r="D14" t="s">
        <v>379</v>
      </c>
      <c r="E14" t="s">
        <v>380</v>
      </c>
      <c r="F14" s="1">
        <v>32290</v>
      </c>
      <c r="G14">
        <v>4</v>
      </c>
      <c r="H14" t="s">
        <v>381</v>
      </c>
      <c r="I14" t="s">
        <v>225</v>
      </c>
      <c r="J14" t="s">
        <v>30</v>
      </c>
    </row>
    <row r="15" spans="1:16" x14ac:dyDescent="0.25">
      <c r="A15" t="s">
        <v>412</v>
      </c>
      <c r="B15" s="1">
        <v>7276</v>
      </c>
      <c r="C15" t="s">
        <v>413</v>
      </c>
      <c r="D15" t="s">
        <v>414</v>
      </c>
      <c r="E15" t="s">
        <v>415</v>
      </c>
      <c r="F15" s="1">
        <v>39925</v>
      </c>
      <c r="G15">
        <v>3</v>
      </c>
      <c r="H15" t="s">
        <v>416</v>
      </c>
      <c r="I15" t="s">
        <v>17</v>
      </c>
      <c r="J15" t="s">
        <v>30</v>
      </c>
    </row>
    <row r="16" spans="1:16" x14ac:dyDescent="0.25">
      <c r="A16" t="s">
        <v>417</v>
      </c>
      <c r="B16" s="1">
        <v>1536</v>
      </c>
      <c r="C16" t="s">
        <v>418</v>
      </c>
      <c r="D16" t="s">
        <v>419</v>
      </c>
      <c r="E16" t="s">
        <v>420</v>
      </c>
      <c r="F16" s="1">
        <v>42960</v>
      </c>
      <c r="G16">
        <v>3</v>
      </c>
      <c r="H16" t="s">
        <v>421</v>
      </c>
      <c r="I16" t="s">
        <v>17</v>
      </c>
      <c r="J16" t="s">
        <v>30</v>
      </c>
    </row>
    <row r="17" spans="1:29" x14ac:dyDescent="0.25">
      <c r="A17" t="s">
        <v>505</v>
      </c>
      <c r="B17">
        <v>431</v>
      </c>
      <c r="C17" t="s">
        <v>506</v>
      </c>
      <c r="D17" t="s">
        <v>507</v>
      </c>
      <c r="E17" t="s">
        <v>508</v>
      </c>
      <c r="F17" s="1">
        <v>97182</v>
      </c>
      <c r="G17">
        <v>1</v>
      </c>
      <c r="H17" t="s">
        <v>509</v>
      </c>
      <c r="I17" t="s">
        <v>17</v>
      </c>
      <c r="J17" t="s">
        <v>30</v>
      </c>
    </row>
    <row r="18" spans="1:29" x14ac:dyDescent="0.25">
      <c r="A18" t="s">
        <v>510</v>
      </c>
      <c r="B18" s="1">
        <v>6237</v>
      </c>
      <c r="C18" t="s">
        <v>511</v>
      </c>
      <c r="D18" t="s">
        <v>512</v>
      </c>
      <c r="E18" t="s">
        <v>513</v>
      </c>
      <c r="F18" s="1">
        <v>100550</v>
      </c>
      <c r="G18">
        <v>2</v>
      </c>
      <c r="H18" t="s">
        <v>514</v>
      </c>
      <c r="I18" t="s">
        <v>225</v>
      </c>
      <c r="J18" t="s">
        <v>30</v>
      </c>
    </row>
    <row r="19" spans="1:29" x14ac:dyDescent="0.25">
      <c r="A19" t="s">
        <v>525</v>
      </c>
      <c r="B19" s="1">
        <v>5737</v>
      </c>
      <c r="C19" t="s">
        <v>526</v>
      </c>
      <c r="D19" t="s">
        <v>527</v>
      </c>
      <c r="E19" t="s">
        <v>528</v>
      </c>
      <c r="F19" s="1">
        <v>125919</v>
      </c>
      <c r="G19">
        <v>2</v>
      </c>
      <c r="H19" t="s">
        <v>529</v>
      </c>
      <c r="I19" t="s">
        <v>17</v>
      </c>
      <c r="J19" t="s">
        <v>30</v>
      </c>
    </row>
    <row r="20" spans="1:29" x14ac:dyDescent="0.25">
      <c r="A20" t="s">
        <v>534</v>
      </c>
      <c r="B20" s="1">
        <v>20832</v>
      </c>
      <c r="C20" t="s">
        <v>535</v>
      </c>
      <c r="D20" t="s">
        <v>536</v>
      </c>
      <c r="E20" t="s">
        <v>537</v>
      </c>
      <c r="F20" s="1">
        <v>139621</v>
      </c>
      <c r="G20">
        <v>3</v>
      </c>
      <c r="H20" t="s">
        <v>538</v>
      </c>
      <c r="I20" t="s">
        <v>174</v>
      </c>
      <c r="J20" t="s">
        <v>30</v>
      </c>
    </row>
    <row r="21" spans="1:29" x14ac:dyDescent="0.25">
      <c r="A21" t="s">
        <v>573</v>
      </c>
      <c r="B21" s="1">
        <v>6263</v>
      </c>
      <c r="C21" t="s">
        <v>574</v>
      </c>
      <c r="D21" t="s">
        <v>575</v>
      </c>
      <c r="E21" t="s">
        <v>576</v>
      </c>
      <c r="F21">
        <v>464</v>
      </c>
      <c r="G21">
        <v>6</v>
      </c>
      <c r="H21" t="s">
        <v>577</v>
      </c>
      <c r="I21" t="s">
        <v>225</v>
      </c>
      <c r="J21" t="s">
        <v>30</v>
      </c>
      <c r="N21" t="s">
        <v>30</v>
      </c>
      <c r="O21">
        <v>698278</v>
      </c>
      <c r="P21">
        <v>90</v>
      </c>
    </row>
    <row r="22" spans="1:29" x14ac:dyDescent="0.25">
      <c r="A22" t="s">
        <v>578</v>
      </c>
      <c r="B22" s="1">
        <v>3921</v>
      </c>
      <c r="C22" t="s">
        <v>579</v>
      </c>
      <c r="D22" t="s">
        <v>580</v>
      </c>
      <c r="E22" t="s">
        <v>581</v>
      </c>
      <c r="F22">
        <v>741</v>
      </c>
      <c r="G22">
        <v>5</v>
      </c>
      <c r="H22" t="s">
        <v>582</v>
      </c>
      <c r="I22" t="s">
        <v>174</v>
      </c>
      <c r="J22" t="s">
        <v>30</v>
      </c>
      <c r="N22" t="s">
        <v>138</v>
      </c>
      <c r="O22">
        <v>1770204</v>
      </c>
      <c r="P22">
        <v>47</v>
      </c>
    </row>
    <row r="23" spans="1:29" x14ac:dyDescent="0.25">
      <c r="A23" t="s">
        <v>583</v>
      </c>
      <c r="B23" s="1">
        <v>1686</v>
      </c>
      <c r="C23" t="s">
        <v>584</v>
      </c>
      <c r="D23" t="s">
        <v>585</v>
      </c>
      <c r="E23" t="s">
        <v>586</v>
      </c>
      <c r="F23">
        <v>313</v>
      </c>
      <c r="G23">
        <v>3</v>
      </c>
      <c r="H23" t="s">
        <v>587</v>
      </c>
      <c r="I23" t="s">
        <v>17</v>
      </c>
      <c r="J23" t="s">
        <v>30</v>
      </c>
      <c r="N23" t="s">
        <v>102</v>
      </c>
      <c r="O23">
        <v>27678</v>
      </c>
      <c r="P23">
        <v>10</v>
      </c>
    </row>
    <row r="24" spans="1:29" x14ac:dyDescent="0.25">
      <c r="A24" t="s">
        <v>588</v>
      </c>
      <c r="B24" s="1">
        <v>14705</v>
      </c>
      <c r="C24" t="s">
        <v>589</v>
      </c>
      <c r="D24" t="s">
        <v>590</v>
      </c>
      <c r="E24" t="s">
        <v>591</v>
      </c>
      <c r="F24" s="1">
        <v>4328</v>
      </c>
      <c r="G24">
        <v>1</v>
      </c>
      <c r="H24" t="s">
        <v>592</v>
      </c>
      <c r="I24" t="s">
        <v>17</v>
      </c>
      <c r="J24" t="s">
        <v>30</v>
      </c>
      <c r="N24" t="s">
        <v>366</v>
      </c>
      <c r="O24">
        <v>42970</v>
      </c>
      <c r="P24">
        <v>8</v>
      </c>
    </row>
    <row r="25" spans="1:29" x14ac:dyDescent="0.25">
      <c r="A25" t="s">
        <v>593</v>
      </c>
      <c r="B25">
        <v>944</v>
      </c>
      <c r="C25" t="s">
        <v>594</v>
      </c>
      <c r="D25" t="s">
        <v>595</v>
      </c>
      <c r="E25" t="s">
        <v>596</v>
      </c>
      <c r="F25">
        <v>372</v>
      </c>
      <c r="G25">
        <v>1</v>
      </c>
      <c r="H25" t="s">
        <v>597</v>
      </c>
      <c r="I25" t="s">
        <v>174</v>
      </c>
      <c r="J25" t="s">
        <v>30</v>
      </c>
      <c r="N25" t="s">
        <v>504</v>
      </c>
      <c r="O25">
        <v>119466</v>
      </c>
      <c r="P25">
        <v>14</v>
      </c>
    </row>
    <row r="26" spans="1:29" x14ac:dyDescent="0.25">
      <c r="A26" t="s">
        <v>598</v>
      </c>
      <c r="B26" s="1">
        <v>8410</v>
      </c>
      <c r="C26" t="s">
        <v>599</v>
      </c>
      <c r="D26" t="s">
        <v>600</v>
      </c>
      <c r="E26" t="s">
        <v>601</v>
      </c>
      <c r="F26" s="1">
        <v>3527</v>
      </c>
      <c r="G26">
        <v>1</v>
      </c>
      <c r="H26" t="s">
        <v>602</v>
      </c>
      <c r="I26" t="s">
        <v>17</v>
      </c>
      <c r="J26" t="s">
        <v>30</v>
      </c>
      <c r="N26" t="s">
        <v>236</v>
      </c>
      <c r="O26">
        <v>515489</v>
      </c>
      <c r="P26">
        <v>21</v>
      </c>
      <c r="AC26" t="s">
        <v>2878</v>
      </c>
    </row>
    <row r="27" spans="1:29" x14ac:dyDescent="0.25">
      <c r="A27" t="s">
        <v>603</v>
      </c>
      <c r="B27" s="1">
        <v>1921</v>
      </c>
      <c r="C27" t="s">
        <v>604</v>
      </c>
      <c r="D27" t="s">
        <v>605</v>
      </c>
      <c r="E27" t="s">
        <v>606</v>
      </c>
      <c r="F27">
        <v>791</v>
      </c>
      <c r="G27">
        <v>1</v>
      </c>
      <c r="H27" t="s">
        <v>607</v>
      </c>
      <c r="I27" t="s">
        <v>17</v>
      </c>
      <c r="J27" t="s">
        <v>30</v>
      </c>
      <c r="N27" t="s">
        <v>19</v>
      </c>
      <c r="O27">
        <f>SUMIF(K2:K587,"Interfacing choice",B2:B587)</f>
        <v>2891439</v>
      </c>
      <c r="P27">
        <v>86</v>
      </c>
    </row>
    <row r="28" spans="1:29" x14ac:dyDescent="0.25">
      <c r="A28" t="s">
        <v>608</v>
      </c>
      <c r="B28">
        <v>472</v>
      </c>
      <c r="C28" t="s">
        <v>609</v>
      </c>
      <c r="D28" t="s">
        <v>610</v>
      </c>
      <c r="E28" t="s">
        <v>611</v>
      </c>
      <c r="F28">
        <v>387</v>
      </c>
      <c r="G28">
        <v>1</v>
      </c>
      <c r="H28" t="s">
        <v>612</v>
      </c>
      <c r="I28" t="s">
        <v>17</v>
      </c>
      <c r="J28" t="s">
        <v>30</v>
      </c>
      <c r="N28" t="s">
        <v>282</v>
      </c>
      <c r="O28">
        <f>SUMIF(L2:L587,"Implicit interfacing",B2:B587)</f>
        <v>1188071</v>
      </c>
      <c r="P28">
        <v>59</v>
      </c>
    </row>
    <row r="29" spans="1:29" x14ac:dyDescent="0.25">
      <c r="A29" t="s">
        <v>613</v>
      </c>
      <c r="B29" s="1">
        <v>3937</v>
      </c>
      <c r="C29" t="s">
        <v>614</v>
      </c>
      <c r="D29" t="s">
        <v>615</v>
      </c>
      <c r="E29" t="s">
        <v>616</v>
      </c>
      <c r="F29">
        <v>313</v>
      </c>
      <c r="G29">
        <v>2</v>
      </c>
      <c r="H29" t="s">
        <v>617</v>
      </c>
      <c r="I29" t="s">
        <v>17</v>
      </c>
      <c r="J29" t="s">
        <v>30</v>
      </c>
      <c r="N29" t="s">
        <v>44</v>
      </c>
      <c r="O29">
        <f>SUMIF(L2:L587,"Explicit interfacing",B2:B587)</f>
        <v>1844359</v>
      </c>
      <c r="P29">
        <v>78</v>
      </c>
    </row>
    <row r="30" spans="1:29" x14ac:dyDescent="0.25">
      <c r="A30" t="s">
        <v>618</v>
      </c>
      <c r="B30" s="1">
        <v>3099</v>
      </c>
      <c r="C30" t="s">
        <v>619</v>
      </c>
      <c r="D30" t="s">
        <v>620</v>
      </c>
      <c r="E30" t="s">
        <v>621</v>
      </c>
      <c r="F30">
        <v>61</v>
      </c>
      <c r="G30">
        <v>3</v>
      </c>
      <c r="H30" t="s">
        <v>622</v>
      </c>
      <c r="I30" t="s">
        <v>17</v>
      </c>
      <c r="J30" t="s">
        <v>30</v>
      </c>
      <c r="N30" t="s">
        <v>37</v>
      </c>
      <c r="O30">
        <f>SUMIF(K5:K590,"Interoperability",B5:B590)</f>
        <v>1084760</v>
      </c>
      <c r="P30">
        <v>86</v>
      </c>
    </row>
    <row r="31" spans="1:29" x14ac:dyDescent="0.25">
      <c r="A31" t="s">
        <v>623</v>
      </c>
      <c r="B31">
        <v>258</v>
      </c>
      <c r="C31" t="s">
        <v>624</v>
      </c>
      <c r="D31" t="s">
        <v>625</v>
      </c>
      <c r="E31" t="s">
        <v>626</v>
      </c>
      <c r="F31" s="1">
        <v>1032</v>
      </c>
      <c r="G31">
        <v>1</v>
      </c>
      <c r="H31" t="s">
        <v>627</v>
      </c>
      <c r="I31" t="s">
        <v>225</v>
      </c>
      <c r="J31" t="s">
        <v>30</v>
      </c>
      <c r="N31" t="s">
        <v>50</v>
      </c>
      <c r="O31">
        <f>SUMIF(K6:K591,"Data format/compatibility",B6:B591)</f>
        <v>1634361</v>
      </c>
      <c r="P31">
        <v>88</v>
      </c>
    </row>
    <row r="32" spans="1:29" x14ac:dyDescent="0.25">
      <c r="A32" t="s">
        <v>628</v>
      </c>
      <c r="B32" s="1">
        <v>3642</v>
      </c>
      <c r="C32" t="s">
        <v>629</v>
      </c>
      <c r="D32" t="s">
        <v>630</v>
      </c>
      <c r="E32" t="s">
        <v>631</v>
      </c>
      <c r="F32" s="1">
        <v>1599</v>
      </c>
      <c r="G32">
        <v>1</v>
      </c>
      <c r="H32" t="s">
        <v>632</v>
      </c>
      <c r="I32" t="s">
        <v>17</v>
      </c>
      <c r="J32" t="s">
        <v>30</v>
      </c>
    </row>
    <row r="33" spans="1:15" x14ac:dyDescent="0.25">
      <c r="A33" t="s">
        <v>633</v>
      </c>
      <c r="B33" s="1">
        <v>43889</v>
      </c>
      <c r="C33" t="s">
        <v>634</v>
      </c>
      <c r="D33" t="s">
        <v>635</v>
      </c>
      <c r="E33" t="s">
        <v>636</v>
      </c>
      <c r="F33" s="1">
        <v>1619</v>
      </c>
      <c r="G33">
        <v>5</v>
      </c>
      <c r="H33" t="s">
        <v>637</v>
      </c>
      <c r="I33" t="s">
        <v>17</v>
      </c>
      <c r="J33" t="s">
        <v>30</v>
      </c>
    </row>
    <row r="34" spans="1:15" x14ac:dyDescent="0.25">
      <c r="A34" t="s">
        <v>638</v>
      </c>
      <c r="B34">
        <v>891</v>
      </c>
      <c r="C34" t="s">
        <v>639</v>
      </c>
      <c r="D34" t="s">
        <v>640</v>
      </c>
      <c r="E34" t="s">
        <v>641</v>
      </c>
      <c r="F34" s="1">
        <v>2136</v>
      </c>
      <c r="G34">
        <v>1</v>
      </c>
      <c r="H34" t="s">
        <v>642</v>
      </c>
      <c r="I34" t="s">
        <v>17</v>
      </c>
      <c r="J34" t="s">
        <v>30</v>
      </c>
    </row>
    <row r="35" spans="1:15" x14ac:dyDescent="0.25">
      <c r="A35" t="s">
        <v>643</v>
      </c>
      <c r="B35" s="1">
        <v>45254</v>
      </c>
      <c r="C35" t="s">
        <v>644</v>
      </c>
      <c r="D35" t="s">
        <v>645</v>
      </c>
      <c r="E35" t="s">
        <v>646</v>
      </c>
      <c r="F35">
        <v>61</v>
      </c>
      <c r="G35">
        <v>3</v>
      </c>
      <c r="H35" t="s">
        <v>647</v>
      </c>
      <c r="I35" t="s">
        <v>17</v>
      </c>
      <c r="J35" t="s">
        <v>30</v>
      </c>
    </row>
    <row r="36" spans="1:15" x14ac:dyDescent="0.25">
      <c r="A36" t="s">
        <v>648</v>
      </c>
      <c r="B36" s="1">
        <v>1422</v>
      </c>
      <c r="C36" t="s">
        <v>649</v>
      </c>
      <c r="D36" t="s">
        <v>650</v>
      </c>
      <c r="E36" t="s">
        <v>651</v>
      </c>
      <c r="F36">
        <v>101</v>
      </c>
      <c r="G36">
        <v>2</v>
      </c>
      <c r="H36" t="s">
        <v>652</v>
      </c>
      <c r="I36" t="s">
        <v>17</v>
      </c>
      <c r="J36" t="s">
        <v>30</v>
      </c>
    </row>
    <row r="37" spans="1:15" x14ac:dyDescent="0.25">
      <c r="A37" t="s">
        <v>653</v>
      </c>
      <c r="B37" s="1">
        <v>1167</v>
      </c>
      <c r="C37" t="s">
        <v>654</v>
      </c>
      <c r="D37" t="s">
        <v>655</v>
      </c>
      <c r="E37" t="s">
        <v>656</v>
      </c>
      <c r="F37" s="1">
        <v>1196</v>
      </c>
      <c r="G37">
        <v>0</v>
      </c>
      <c r="H37" t="s">
        <v>657</v>
      </c>
      <c r="I37" t="s">
        <v>17</v>
      </c>
      <c r="J37" t="s">
        <v>30</v>
      </c>
    </row>
    <row r="38" spans="1:15" x14ac:dyDescent="0.25">
      <c r="A38" t="s">
        <v>658</v>
      </c>
      <c r="B38" s="1">
        <v>5212</v>
      </c>
      <c r="C38" t="s">
        <v>659</v>
      </c>
      <c r="D38" t="s">
        <v>660</v>
      </c>
      <c r="E38" t="s">
        <v>661</v>
      </c>
      <c r="F38">
        <v>686</v>
      </c>
      <c r="G38">
        <v>1</v>
      </c>
      <c r="H38" t="s">
        <v>662</v>
      </c>
      <c r="I38" t="s">
        <v>91</v>
      </c>
      <c r="J38" t="s">
        <v>30</v>
      </c>
      <c r="O38" t="s">
        <v>2878</v>
      </c>
    </row>
    <row r="39" spans="1:15" x14ac:dyDescent="0.25">
      <c r="A39" t="s">
        <v>663</v>
      </c>
      <c r="B39" s="1">
        <v>6608</v>
      </c>
      <c r="C39" t="s">
        <v>664</v>
      </c>
      <c r="D39" t="s">
        <v>665</v>
      </c>
      <c r="E39" t="s">
        <v>666</v>
      </c>
      <c r="F39">
        <v>330</v>
      </c>
      <c r="G39">
        <v>1</v>
      </c>
      <c r="H39" t="s">
        <v>667</v>
      </c>
      <c r="I39" t="s">
        <v>17</v>
      </c>
      <c r="J39" t="s">
        <v>30</v>
      </c>
      <c r="N39" t="s">
        <v>18</v>
      </c>
      <c r="O39">
        <f>O2/P2</f>
        <v>26684.094594594593</v>
      </c>
    </row>
    <row r="40" spans="1:15" x14ac:dyDescent="0.25">
      <c r="A40" t="s">
        <v>668</v>
      </c>
      <c r="B40" s="1">
        <v>14686</v>
      </c>
      <c r="C40" t="s">
        <v>669</v>
      </c>
      <c r="D40" t="s">
        <v>670</v>
      </c>
      <c r="E40" t="s">
        <v>671</v>
      </c>
      <c r="F40">
        <v>341</v>
      </c>
      <c r="G40">
        <v>4</v>
      </c>
      <c r="H40" t="s">
        <v>672</v>
      </c>
      <c r="I40" t="s">
        <v>17</v>
      </c>
      <c r="J40" t="s">
        <v>30</v>
      </c>
      <c r="N40" t="s">
        <v>30</v>
      </c>
      <c r="O40">
        <f>O3/P3</f>
        <v>7758.6444444444442</v>
      </c>
    </row>
    <row r="41" spans="1:15" x14ac:dyDescent="0.25">
      <c r="A41" t="s">
        <v>673</v>
      </c>
      <c r="B41" s="1">
        <v>26502</v>
      </c>
      <c r="C41" t="s">
        <v>674</v>
      </c>
      <c r="D41" t="s">
        <v>675</v>
      </c>
      <c r="E41" t="s">
        <v>676</v>
      </c>
      <c r="F41">
        <v>455</v>
      </c>
      <c r="G41">
        <v>2</v>
      </c>
      <c r="H41" t="s">
        <v>677</v>
      </c>
      <c r="I41" t="s">
        <v>174</v>
      </c>
      <c r="J41" t="s">
        <v>30</v>
      </c>
      <c r="N41" t="s">
        <v>36</v>
      </c>
      <c r="O41">
        <f t="shared" ref="O41:O46" si="0">O4/P4</f>
        <v>15627.132183908046</v>
      </c>
    </row>
    <row r="42" spans="1:15" x14ac:dyDescent="0.25">
      <c r="A42" t="s">
        <v>678</v>
      </c>
      <c r="B42" s="1">
        <v>28687</v>
      </c>
      <c r="C42" t="s">
        <v>679</v>
      </c>
      <c r="D42" t="s">
        <v>680</v>
      </c>
      <c r="E42" t="s">
        <v>681</v>
      </c>
      <c r="F42" s="1">
        <v>3045</v>
      </c>
      <c r="G42">
        <v>4</v>
      </c>
      <c r="H42" t="s">
        <v>682</v>
      </c>
      <c r="I42" t="s">
        <v>174</v>
      </c>
      <c r="J42" t="s">
        <v>30</v>
      </c>
      <c r="N42" t="s">
        <v>138</v>
      </c>
      <c r="O42">
        <f t="shared" si="0"/>
        <v>37663.914893617024</v>
      </c>
    </row>
    <row r="43" spans="1:15" x14ac:dyDescent="0.25">
      <c r="A43" t="s">
        <v>683</v>
      </c>
      <c r="B43" s="1">
        <v>13299</v>
      </c>
      <c r="C43" t="s">
        <v>684</v>
      </c>
      <c r="D43" t="s">
        <v>685</v>
      </c>
      <c r="E43" t="s">
        <v>686</v>
      </c>
      <c r="F43" s="1">
        <v>2301</v>
      </c>
      <c r="G43">
        <v>2</v>
      </c>
      <c r="H43" t="s">
        <v>687</v>
      </c>
      <c r="I43" t="s">
        <v>17</v>
      </c>
      <c r="J43" t="s">
        <v>30</v>
      </c>
      <c r="N43" t="s">
        <v>102</v>
      </c>
      <c r="O43">
        <f t="shared" si="0"/>
        <v>2767.8</v>
      </c>
    </row>
    <row r="44" spans="1:15" x14ac:dyDescent="0.25">
      <c r="A44" t="s">
        <v>688</v>
      </c>
      <c r="B44">
        <v>798</v>
      </c>
      <c r="C44" t="s">
        <v>689</v>
      </c>
      <c r="D44" t="s">
        <v>690</v>
      </c>
      <c r="E44" t="s">
        <v>691</v>
      </c>
      <c r="F44">
        <v>188</v>
      </c>
      <c r="G44">
        <v>1</v>
      </c>
      <c r="H44" t="s">
        <v>692</v>
      </c>
      <c r="I44" t="s">
        <v>174</v>
      </c>
      <c r="J44" t="s">
        <v>30</v>
      </c>
      <c r="N44" t="s">
        <v>366</v>
      </c>
      <c r="O44">
        <f t="shared" si="0"/>
        <v>5371.25</v>
      </c>
    </row>
    <row r="45" spans="1:15" x14ac:dyDescent="0.25">
      <c r="A45" t="s">
        <v>693</v>
      </c>
      <c r="B45" s="1">
        <v>41492</v>
      </c>
      <c r="C45" t="s">
        <v>694</v>
      </c>
      <c r="D45" t="s">
        <v>695</v>
      </c>
      <c r="E45" t="s">
        <v>696</v>
      </c>
      <c r="F45" s="1">
        <v>5329</v>
      </c>
      <c r="G45">
        <v>1</v>
      </c>
      <c r="H45" t="s">
        <v>697</v>
      </c>
      <c r="I45" t="s">
        <v>17</v>
      </c>
      <c r="J45" t="s">
        <v>30</v>
      </c>
      <c r="N45" t="s">
        <v>504</v>
      </c>
      <c r="O45">
        <f t="shared" si="0"/>
        <v>8533.2857142857138</v>
      </c>
    </row>
    <row r="46" spans="1:15" x14ac:dyDescent="0.25">
      <c r="A46" t="s">
        <v>698</v>
      </c>
      <c r="B46" s="1">
        <v>29925</v>
      </c>
      <c r="C46" t="s">
        <v>699</v>
      </c>
      <c r="D46" t="s">
        <v>700</v>
      </c>
      <c r="E46" t="s">
        <v>701</v>
      </c>
      <c r="F46" s="1">
        <v>1415</v>
      </c>
      <c r="G46">
        <v>9</v>
      </c>
      <c r="H46" t="s">
        <v>702</v>
      </c>
      <c r="I46" t="s">
        <v>17</v>
      </c>
      <c r="J46" t="s">
        <v>30</v>
      </c>
      <c r="N46" t="s">
        <v>236</v>
      </c>
      <c r="O46">
        <f t="shared" si="0"/>
        <v>24547.095238095237</v>
      </c>
    </row>
    <row r="47" spans="1:15" x14ac:dyDescent="0.25">
      <c r="A47" t="s">
        <v>703</v>
      </c>
      <c r="B47" s="1">
        <v>2761</v>
      </c>
      <c r="C47" t="s">
        <v>704</v>
      </c>
      <c r="D47" t="s">
        <v>705</v>
      </c>
      <c r="E47" t="s">
        <v>706</v>
      </c>
      <c r="F47">
        <v>197</v>
      </c>
      <c r="G47">
        <v>1</v>
      </c>
      <c r="H47" t="s">
        <v>707</v>
      </c>
      <c r="I47" t="s">
        <v>174</v>
      </c>
      <c r="J47" t="s">
        <v>30</v>
      </c>
    </row>
    <row r="48" spans="1:15" x14ac:dyDescent="0.25">
      <c r="A48" t="s">
        <v>708</v>
      </c>
      <c r="B48" s="1">
        <v>2308</v>
      </c>
      <c r="C48" t="s">
        <v>709</v>
      </c>
      <c r="D48" t="s">
        <v>710</v>
      </c>
      <c r="G48">
        <v>1</v>
      </c>
      <c r="H48" t="s">
        <v>711</v>
      </c>
      <c r="I48" t="s">
        <v>17</v>
      </c>
      <c r="J48" t="s">
        <v>30</v>
      </c>
    </row>
    <row r="49" spans="1:15" x14ac:dyDescent="0.25">
      <c r="A49" t="s">
        <v>712</v>
      </c>
      <c r="B49" s="1">
        <v>1129</v>
      </c>
      <c r="C49" t="s">
        <v>713</v>
      </c>
      <c r="D49" t="s">
        <v>714</v>
      </c>
      <c r="E49" t="s">
        <v>715</v>
      </c>
      <c r="F49">
        <v>534</v>
      </c>
      <c r="G49">
        <v>3</v>
      </c>
      <c r="H49" t="s">
        <v>716</v>
      </c>
      <c r="I49" t="s">
        <v>225</v>
      </c>
      <c r="J49" t="s">
        <v>30</v>
      </c>
    </row>
    <row r="50" spans="1:15" x14ac:dyDescent="0.25">
      <c r="A50" t="s">
        <v>717</v>
      </c>
      <c r="B50" s="1">
        <v>1516</v>
      </c>
      <c r="C50" t="s">
        <v>718</v>
      </c>
      <c r="D50" t="s">
        <v>719</v>
      </c>
      <c r="E50" t="s">
        <v>720</v>
      </c>
      <c r="F50" s="1">
        <v>1042</v>
      </c>
      <c r="G50">
        <v>1</v>
      </c>
      <c r="H50" t="s">
        <v>721</v>
      </c>
      <c r="I50" t="s">
        <v>174</v>
      </c>
      <c r="J50" t="s">
        <v>30</v>
      </c>
    </row>
    <row r="51" spans="1:15" x14ac:dyDescent="0.25">
      <c r="A51" t="s">
        <v>722</v>
      </c>
      <c r="B51" s="1">
        <v>3285</v>
      </c>
      <c r="C51" t="s">
        <v>723</v>
      </c>
      <c r="D51" t="s">
        <v>724</v>
      </c>
      <c r="E51" t="s">
        <v>725</v>
      </c>
      <c r="F51">
        <v>93</v>
      </c>
      <c r="G51">
        <v>1</v>
      </c>
      <c r="H51" t="s">
        <v>726</v>
      </c>
      <c r="I51" t="s">
        <v>17</v>
      </c>
      <c r="J51" t="s">
        <v>30</v>
      </c>
    </row>
    <row r="52" spans="1:15" x14ac:dyDescent="0.25">
      <c r="A52" t="s">
        <v>727</v>
      </c>
      <c r="B52" s="1">
        <v>35251</v>
      </c>
      <c r="C52" t="s">
        <v>728</v>
      </c>
      <c r="D52" t="s">
        <v>729</v>
      </c>
      <c r="E52" t="s">
        <v>730</v>
      </c>
      <c r="F52" s="1">
        <v>1852</v>
      </c>
      <c r="G52">
        <v>1</v>
      </c>
      <c r="H52" t="s">
        <v>731</v>
      </c>
      <c r="I52" t="s">
        <v>174</v>
      </c>
      <c r="J52" t="s">
        <v>30</v>
      </c>
      <c r="N52" t="s">
        <v>30</v>
      </c>
      <c r="O52">
        <f>O21/P21</f>
        <v>7758.6444444444442</v>
      </c>
    </row>
    <row r="53" spans="1:15" x14ac:dyDescent="0.25">
      <c r="A53" t="s">
        <v>732</v>
      </c>
      <c r="B53">
        <v>359</v>
      </c>
      <c r="C53" t="s">
        <v>733</v>
      </c>
      <c r="D53" t="s">
        <v>734</v>
      </c>
      <c r="E53" t="s">
        <v>735</v>
      </c>
      <c r="F53">
        <v>657</v>
      </c>
      <c r="G53">
        <v>2</v>
      </c>
      <c r="H53" t="s">
        <v>736</v>
      </c>
      <c r="I53" t="s">
        <v>174</v>
      </c>
      <c r="J53" t="s">
        <v>30</v>
      </c>
      <c r="N53" t="s">
        <v>138</v>
      </c>
      <c r="O53">
        <f>O22/P22</f>
        <v>37663.914893617024</v>
      </c>
    </row>
    <row r="54" spans="1:15" x14ac:dyDescent="0.25">
      <c r="A54" t="s">
        <v>737</v>
      </c>
      <c r="B54" s="1">
        <v>1974</v>
      </c>
      <c r="C54" t="s">
        <v>738</v>
      </c>
      <c r="D54" t="s">
        <v>739</v>
      </c>
      <c r="E54" t="s">
        <v>740</v>
      </c>
      <c r="F54" s="1">
        <v>2809</v>
      </c>
      <c r="G54">
        <v>2</v>
      </c>
      <c r="H54" t="s">
        <v>741</v>
      </c>
      <c r="I54" t="s">
        <v>225</v>
      </c>
      <c r="J54" t="s">
        <v>30</v>
      </c>
      <c r="N54" t="s">
        <v>102</v>
      </c>
      <c r="O54">
        <f t="shared" ref="O54:O62" si="1">O23/P23</f>
        <v>2767.8</v>
      </c>
    </row>
    <row r="55" spans="1:15" x14ac:dyDescent="0.25">
      <c r="A55" t="s">
        <v>742</v>
      </c>
      <c r="B55" s="1">
        <v>19393</v>
      </c>
      <c r="C55" t="s">
        <v>743</v>
      </c>
      <c r="D55" t="s">
        <v>744</v>
      </c>
      <c r="E55" t="s">
        <v>745</v>
      </c>
      <c r="F55" s="1">
        <v>2183</v>
      </c>
      <c r="G55">
        <v>5</v>
      </c>
      <c r="H55" t="s">
        <v>746</v>
      </c>
      <c r="I55" t="s">
        <v>17</v>
      </c>
      <c r="J55" t="s">
        <v>30</v>
      </c>
      <c r="N55" t="s">
        <v>366</v>
      </c>
      <c r="O55">
        <f t="shared" si="1"/>
        <v>5371.25</v>
      </c>
    </row>
    <row r="56" spans="1:15" x14ac:dyDescent="0.25">
      <c r="A56" t="s">
        <v>747</v>
      </c>
      <c r="B56">
        <v>681</v>
      </c>
      <c r="D56" t="s">
        <v>748</v>
      </c>
      <c r="G56">
        <v>11</v>
      </c>
      <c r="H56" t="s">
        <v>749</v>
      </c>
      <c r="I56" t="s">
        <v>17</v>
      </c>
      <c r="J56" t="s">
        <v>30</v>
      </c>
      <c r="N56" t="s">
        <v>504</v>
      </c>
      <c r="O56">
        <f t="shared" si="1"/>
        <v>8533.2857142857138</v>
      </c>
    </row>
    <row r="57" spans="1:15" x14ac:dyDescent="0.25">
      <c r="A57" t="s">
        <v>750</v>
      </c>
      <c r="B57" s="1">
        <v>5507</v>
      </c>
      <c r="C57" t="s">
        <v>751</v>
      </c>
      <c r="D57" t="s">
        <v>752</v>
      </c>
      <c r="E57" t="s">
        <v>753</v>
      </c>
      <c r="F57">
        <v>95</v>
      </c>
      <c r="G57">
        <v>3</v>
      </c>
      <c r="H57" t="s">
        <v>754</v>
      </c>
      <c r="I57" t="s">
        <v>225</v>
      </c>
      <c r="J57" t="s">
        <v>30</v>
      </c>
      <c r="N57" t="s">
        <v>236</v>
      </c>
      <c r="O57">
        <f t="shared" si="1"/>
        <v>24547.095238095237</v>
      </c>
    </row>
    <row r="58" spans="1:15" x14ac:dyDescent="0.25">
      <c r="A58" t="s">
        <v>755</v>
      </c>
      <c r="B58" s="1">
        <v>4834</v>
      </c>
      <c r="C58" t="s">
        <v>756</v>
      </c>
      <c r="D58" t="s">
        <v>757</v>
      </c>
      <c r="E58" t="s">
        <v>758</v>
      </c>
      <c r="F58" s="1">
        <v>2304</v>
      </c>
      <c r="G58">
        <v>3</v>
      </c>
      <c r="H58" t="s">
        <v>759</v>
      </c>
      <c r="I58" t="s">
        <v>17</v>
      </c>
      <c r="J58" t="s">
        <v>30</v>
      </c>
      <c r="N58" t="s">
        <v>19</v>
      </c>
      <c r="O58">
        <f t="shared" si="1"/>
        <v>33621.383720930229</v>
      </c>
    </row>
    <row r="59" spans="1:15" x14ac:dyDescent="0.25">
      <c r="A59" t="s">
        <v>760</v>
      </c>
      <c r="B59" s="1">
        <v>11415</v>
      </c>
      <c r="C59" t="s">
        <v>761</v>
      </c>
      <c r="D59" t="s">
        <v>762</v>
      </c>
      <c r="E59" t="s">
        <v>763</v>
      </c>
      <c r="F59" s="1">
        <v>2258</v>
      </c>
      <c r="G59">
        <v>1</v>
      </c>
      <c r="H59" t="s">
        <v>764</v>
      </c>
      <c r="I59" t="s">
        <v>174</v>
      </c>
      <c r="J59" t="s">
        <v>30</v>
      </c>
      <c r="N59" t="s">
        <v>282</v>
      </c>
      <c r="O59">
        <f t="shared" si="1"/>
        <v>20136.796610169491</v>
      </c>
    </row>
    <row r="60" spans="1:15" x14ac:dyDescent="0.25">
      <c r="A60" t="s">
        <v>765</v>
      </c>
      <c r="B60" s="1">
        <v>12057</v>
      </c>
      <c r="C60" t="s">
        <v>766</v>
      </c>
      <c r="D60" t="s">
        <v>767</v>
      </c>
      <c r="E60" t="s">
        <v>768</v>
      </c>
      <c r="F60">
        <v>613</v>
      </c>
      <c r="G60">
        <v>2</v>
      </c>
      <c r="H60" t="s">
        <v>769</v>
      </c>
      <c r="I60" t="s">
        <v>17</v>
      </c>
      <c r="J60" t="s">
        <v>30</v>
      </c>
      <c r="N60" t="s">
        <v>44</v>
      </c>
      <c r="O60">
        <f t="shared" si="1"/>
        <v>23645.628205128207</v>
      </c>
    </row>
    <row r="61" spans="1:15" x14ac:dyDescent="0.25">
      <c r="A61" t="s">
        <v>770</v>
      </c>
      <c r="B61" s="1">
        <v>22738</v>
      </c>
      <c r="C61" t="s">
        <v>771</v>
      </c>
      <c r="D61" t="s">
        <v>772</v>
      </c>
      <c r="E61" t="s">
        <v>773</v>
      </c>
      <c r="F61" s="1">
        <v>3788</v>
      </c>
      <c r="G61">
        <v>1</v>
      </c>
      <c r="H61" t="s">
        <v>774</v>
      </c>
      <c r="I61" t="s">
        <v>17</v>
      </c>
      <c r="J61" t="s">
        <v>30</v>
      </c>
      <c r="N61" t="s">
        <v>37</v>
      </c>
      <c r="O61">
        <f t="shared" si="1"/>
        <v>12613.488372093023</v>
      </c>
    </row>
    <row r="62" spans="1:15" x14ac:dyDescent="0.25">
      <c r="A62" t="s">
        <v>775</v>
      </c>
      <c r="B62" s="1">
        <v>4100</v>
      </c>
      <c r="C62" t="s">
        <v>776</v>
      </c>
      <c r="D62" t="s">
        <v>777</v>
      </c>
      <c r="E62" t="s">
        <v>778</v>
      </c>
      <c r="F62" s="1">
        <v>1597</v>
      </c>
      <c r="G62">
        <v>1</v>
      </c>
      <c r="H62" t="s">
        <v>779</v>
      </c>
      <c r="I62" t="s">
        <v>91</v>
      </c>
      <c r="J62" t="s">
        <v>30</v>
      </c>
      <c r="N62" t="s">
        <v>50</v>
      </c>
      <c r="O62">
        <f t="shared" si="1"/>
        <v>18572.284090909092</v>
      </c>
    </row>
    <row r="63" spans="1:15" x14ac:dyDescent="0.25">
      <c r="A63" t="s">
        <v>780</v>
      </c>
      <c r="B63" s="1">
        <v>1309</v>
      </c>
      <c r="C63" t="s">
        <v>781</v>
      </c>
      <c r="D63" t="s">
        <v>782</v>
      </c>
      <c r="E63" t="s">
        <v>783</v>
      </c>
      <c r="F63" s="1">
        <v>5269</v>
      </c>
      <c r="G63">
        <v>3</v>
      </c>
      <c r="H63" t="s">
        <v>784</v>
      </c>
      <c r="I63" t="s">
        <v>174</v>
      </c>
      <c r="J63" t="s">
        <v>30</v>
      </c>
    </row>
    <row r="64" spans="1:15" x14ac:dyDescent="0.25">
      <c r="A64" t="s">
        <v>785</v>
      </c>
      <c r="B64" s="1">
        <v>3268</v>
      </c>
      <c r="C64" t="s">
        <v>786</v>
      </c>
      <c r="D64" t="s">
        <v>787</v>
      </c>
      <c r="E64" t="s">
        <v>788</v>
      </c>
      <c r="F64">
        <v>117</v>
      </c>
      <c r="G64">
        <v>1</v>
      </c>
      <c r="H64" t="s">
        <v>789</v>
      </c>
      <c r="I64" t="s">
        <v>17</v>
      </c>
      <c r="J64" t="s">
        <v>30</v>
      </c>
    </row>
    <row r="65" spans="1:10" x14ac:dyDescent="0.25">
      <c r="A65" t="s">
        <v>790</v>
      </c>
      <c r="B65" s="1">
        <v>7028</v>
      </c>
      <c r="C65" t="s">
        <v>791</v>
      </c>
      <c r="D65" t="s">
        <v>792</v>
      </c>
      <c r="E65" t="s">
        <v>793</v>
      </c>
      <c r="F65">
        <v>268</v>
      </c>
      <c r="G65">
        <v>3</v>
      </c>
      <c r="H65" t="s">
        <v>794</v>
      </c>
      <c r="I65" t="s">
        <v>174</v>
      </c>
      <c r="J65" t="s">
        <v>30</v>
      </c>
    </row>
    <row r="66" spans="1:10" x14ac:dyDescent="0.25">
      <c r="A66" t="s">
        <v>795</v>
      </c>
      <c r="B66" s="1">
        <v>17452</v>
      </c>
      <c r="C66" t="s">
        <v>796</v>
      </c>
      <c r="D66" t="s">
        <v>797</v>
      </c>
      <c r="E66" t="s">
        <v>798</v>
      </c>
      <c r="F66">
        <v>632</v>
      </c>
      <c r="G66">
        <v>3</v>
      </c>
      <c r="H66" t="s">
        <v>799</v>
      </c>
      <c r="I66" t="s">
        <v>225</v>
      </c>
      <c r="J66" t="s">
        <v>30</v>
      </c>
    </row>
    <row r="67" spans="1:10" x14ac:dyDescent="0.25">
      <c r="A67" t="s">
        <v>800</v>
      </c>
      <c r="B67" s="1">
        <v>2985</v>
      </c>
      <c r="C67" t="s">
        <v>801</v>
      </c>
      <c r="D67" t="s">
        <v>802</v>
      </c>
      <c r="E67" t="s">
        <v>803</v>
      </c>
      <c r="F67">
        <v>362</v>
      </c>
      <c r="G67">
        <v>1</v>
      </c>
      <c r="H67" t="s">
        <v>804</v>
      </c>
      <c r="I67" t="s">
        <v>17</v>
      </c>
      <c r="J67" t="s">
        <v>30</v>
      </c>
    </row>
    <row r="68" spans="1:10" x14ac:dyDescent="0.25">
      <c r="A68" t="s">
        <v>805</v>
      </c>
      <c r="B68" s="1">
        <v>4850</v>
      </c>
      <c r="C68" t="s">
        <v>806</v>
      </c>
      <c r="D68" t="s">
        <v>807</v>
      </c>
      <c r="E68" t="s">
        <v>808</v>
      </c>
      <c r="F68">
        <v>109</v>
      </c>
      <c r="G68">
        <v>2</v>
      </c>
      <c r="H68" t="s">
        <v>261</v>
      </c>
      <c r="I68" t="s">
        <v>17</v>
      </c>
      <c r="J68" t="s">
        <v>30</v>
      </c>
    </row>
    <row r="69" spans="1:10" x14ac:dyDescent="0.25">
      <c r="A69" t="s">
        <v>809</v>
      </c>
      <c r="B69" s="1">
        <v>1257</v>
      </c>
      <c r="C69" t="s">
        <v>810</v>
      </c>
      <c r="D69" t="s">
        <v>811</v>
      </c>
      <c r="E69" t="s">
        <v>812</v>
      </c>
      <c r="F69">
        <v>391</v>
      </c>
      <c r="G69">
        <v>2</v>
      </c>
      <c r="H69" t="s">
        <v>813</v>
      </c>
      <c r="I69" t="s">
        <v>17</v>
      </c>
      <c r="J69" t="s">
        <v>30</v>
      </c>
    </row>
    <row r="70" spans="1:10" x14ac:dyDescent="0.25">
      <c r="A70" t="s">
        <v>814</v>
      </c>
      <c r="B70" s="1">
        <v>2665</v>
      </c>
      <c r="C70" t="s">
        <v>815</v>
      </c>
      <c r="D70" t="s">
        <v>816</v>
      </c>
      <c r="E70" t="s">
        <v>817</v>
      </c>
      <c r="F70" s="1">
        <v>9870</v>
      </c>
      <c r="G70">
        <v>3</v>
      </c>
      <c r="H70" t="s">
        <v>818</v>
      </c>
      <c r="I70" t="s">
        <v>225</v>
      </c>
      <c r="J70" t="s">
        <v>30</v>
      </c>
    </row>
    <row r="71" spans="1:10" x14ac:dyDescent="0.25">
      <c r="A71" t="s">
        <v>819</v>
      </c>
      <c r="B71" s="1">
        <v>15403</v>
      </c>
      <c r="C71" t="s">
        <v>820</v>
      </c>
      <c r="D71" t="s">
        <v>821</v>
      </c>
      <c r="E71" t="s">
        <v>822</v>
      </c>
      <c r="F71" s="1">
        <v>6052</v>
      </c>
      <c r="G71">
        <v>3</v>
      </c>
      <c r="H71" t="s">
        <v>823</v>
      </c>
      <c r="I71" t="s">
        <v>17</v>
      </c>
      <c r="J71" t="s">
        <v>30</v>
      </c>
    </row>
    <row r="72" spans="1:10" x14ac:dyDescent="0.25">
      <c r="A72" t="s">
        <v>824</v>
      </c>
      <c r="B72" s="1">
        <v>1065</v>
      </c>
      <c r="C72" t="s">
        <v>825</v>
      </c>
      <c r="D72" t="s">
        <v>826</v>
      </c>
      <c r="E72" t="s">
        <v>827</v>
      </c>
      <c r="F72">
        <v>831</v>
      </c>
      <c r="G72">
        <v>1</v>
      </c>
      <c r="H72" t="s">
        <v>828</v>
      </c>
      <c r="I72" t="s">
        <v>17</v>
      </c>
      <c r="J72" t="s">
        <v>30</v>
      </c>
    </row>
    <row r="73" spans="1:10" x14ac:dyDescent="0.25">
      <c r="A73" t="s">
        <v>829</v>
      </c>
      <c r="B73" s="1">
        <v>14098</v>
      </c>
      <c r="C73" t="s">
        <v>830</v>
      </c>
      <c r="D73" t="s">
        <v>831</v>
      </c>
      <c r="E73" t="s">
        <v>832</v>
      </c>
      <c r="F73">
        <v>748</v>
      </c>
      <c r="G73">
        <v>4</v>
      </c>
      <c r="H73" t="s">
        <v>833</v>
      </c>
      <c r="I73" t="s">
        <v>17</v>
      </c>
      <c r="J73" t="s">
        <v>30</v>
      </c>
    </row>
    <row r="74" spans="1:10" x14ac:dyDescent="0.25">
      <c r="A74" t="s">
        <v>834</v>
      </c>
      <c r="B74">
        <v>357</v>
      </c>
      <c r="C74" t="s">
        <v>835</v>
      </c>
      <c r="D74" t="s">
        <v>836</v>
      </c>
      <c r="E74" t="s">
        <v>837</v>
      </c>
      <c r="F74" s="1">
        <v>3327</v>
      </c>
      <c r="G74">
        <v>0</v>
      </c>
      <c r="H74" t="s">
        <v>838</v>
      </c>
      <c r="I74" t="s">
        <v>17</v>
      </c>
      <c r="J74" t="s">
        <v>30</v>
      </c>
    </row>
    <row r="75" spans="1:10" x14ac:dyDescent="0.25">
      <c r="A75" t="s">
        <v>839</v>
      </c>
      <c r="B75">
        <v>948</v>
      </c>
      <c r="C75" t="s">
        <v>840</v>
      </c>
      <c r="D75" t="s">
        <v>841</v>
      </c>
      <c r="E75" t="s">
        <v>842</v>
      </c>
      <c r="F75">
        <v>155</v>
      </c>
      <c r="G75">
        <v>2</v>
      </c>
      <c r="H75" t="s">
        <v>24</v>
      </c>
      <c r="I75" t="s">
        <v>17</v>
      </c>
      <c r="J75" t="s">
        <v>30</v>
      </c>
    </row>
    <row r="76" spans="1:10" x14ac:dyDescent="0.25">
      <c r="A76" t="s">
        <v>843</v>
      </c>
      <c r="B76" s="1">
        <v>3983</v>
      </c>
      <c r="C76" t="s">
        <v>844</v>
      </c>
      <c r="D76" t="s">
        <v>845</v>
      </c>
      <c r="E76" t="s">
        <v>846</v>
      </c>
      <c r="F76">
        <v>212</v>
      </c>
      <c r="G76">
        <v>1</v>
      </c>
      <c r="H76" t="s">
        <v>847</v>
      </c>
      <c r="I76" t="s">
        <v>17</v>
      </c>
      <c r="J76" t="s">
        <v>30</v>
      </c>
    </row>
    <row r="77" spans="1:10" x14ac:dyDescent="0.25">
      <c r="A77" t="s">
        <v>848</v>
      </c>
      <c r="B77" s="1">
        <v>3101</v>
      </c>
      <c r="C77" t="s">
        <v>849</v>
      </c>
      <c r="D77" t="s">
        <v>850</v>
      </c>
      <c r="E77" t="s">
        <v>851</v>
      </c>
      <c r="F77" s="1">
        <v>7149</v>
      </c>
      <c r="G77">
        <v>2</v>
      </c>
      <c r="H77" t="s">
        <v>852</v>
      </c>
      <c r="I77" t="s">
        <v>17</v>
      </c>
      <c r="J77" t="s">
        <v>30</v>
      </c>
    </row>
    <row r="78" spans="1:10" x14ac:dyDescent="0.25">
      <c r="A78" t="s">
        <v>853</v>
      </c>
      <c r="B78">
        <v>753</v>
      </c>
      <c r="C78" t="s">
        <v>854</v>
      </c>
      <c r="D78" t="s">
        <v>855</v>
      </c>
      <c r="E78" t="s">
        <v>856</v>
      </c>
      <c r="F78">
        <v>450</v>
      </c>
      <c r="G78">
        <v>1</v>
      </c>
      <c r="H78" t="s">
        <v>857</v>
      </c>
      <c r="I78" t="s">
        <v>225</v>
      </c>
      <c r="J78" t="s">
        <v>30</v>
      </c>
    </row>
    <row r="79" spans="1:10" x14ac:dyDescent="0.25">
      <c r="A79" t="s">
        <v>858</v>
      </c>
      <c r="B79">
        <v>667</v>
      </c>
      <c r="C79" t="s">
        <v>859</v>
      </c>
      <c r="D79" t="s">
        <v>860</v>
      </c>
      <c r="E79" t="s">
        <v>861</v>
      </c>
      <c r="F79" s="1">
        <v>2988</v>
      </c>
      <c r="G79">
        <v>2</v>
      </c>
      <c r="H79" t="s">
        <v>862</v>
      </c>
      <c r="I79" t="s">
        <v>225</v>
      </c>
      <c r="J79" t="s">
        <v>30</v>
      </c>
    </row>
    <row r="80" spans="1:10" x14ac:dyDescent="0.25">
      <c r="A80" t="s">
        <v>863</v>
      </c>
      <c r="B80" s="1">
        <v>2502</v>
      </c>
      <c r="C80" t="s">
        <v>864</v>
      </c>
      <c r="D80" t="s">
        <v>865</v>
      </c>
      <c r="E80" t="s">
        <v>866</v>
      </c>
      <c r="F80">
        <v>412</v>
      </c>
      <c r="G80">
        <v>1</v>
      </c>
      <c r="H80" t="s">
        <v>867</v>
      </c>
      <c r="I80" t="s">
        <v>17</v>
      </c>
      <c r="J80" t="s">
        <v>30</v>
      </c>
    </row>
    <row r="81" spans="1:11" x14ac:dyDescent="0.25">
      <c r="A81" t="s">
        <v>868</v>
      </c>
      <c r="B81" s="1">
        <v>4923</v>
      </c>
      <c r="C81" t="s">
        <v>869</v>
      </c>
      <c r="D81" t="s">
        <v>870</v>
      </c>
      <c r="E81" t="s">
        <v>871</v>
      </c>
      <c r="F81">
        <v>456</v>
      </c>
      <c r="G81">
        <v>1</v>
      </c>
      <c r="H81" t="s">
        <v>872</v>
      </c>
      <c r="I81" t="s">
        <v>17</v>
      </c>
      <c r="J81" t="s">
        <v>30</v>
      </c>
    </row>
    <row r="82" spans="1:11" x14ac:dyDescent="0.25">
      <c r="A82" t="s">
        <v>873</v>
      </c>
      <c r="B82" s="1">
        <v>23467</v>
      </c>
      <c r="C82" t="s">
        <v>874</v>
      </c>
      <c r="D82" t="s">
        <v>875</v>
      </c>
      <c r="E82" t="s">
        <v>876</v>
      </c>
      <c r="F82" s="1">
        <v>1460</v>
      </c>
      <c r="G82">
        <v>2</v>
      </c>
      <c r="H82" t="s">
        <v>877</v>
      </c>
      <c r="I82" t="s">
        <v>17</v>
      </c>
      <c r="J82" t="s">
        <v>30</v>
      </c>
    </row>
    <row r="83" spans="1:11" x14ac:dyDescent="0.25">
      <c r="A83" t="s">
        <v>878</v>
      </c>
      <c r="B83" s="1">
        <v>5133</v>
      </c>
      <c r="C83" t="s">
        <v>879</v>
      </c>
      <c r="D83" t="s">
        <v>880</v>
      </c>
      <c r="E83" t="s">
        <v>881</v>
      </c>
      <c r="F83" s="1">
        <v>4242</v>
      </c>
      <c r="G83">
        <v>10</v>
      </c>
      <c r="H83" t="s">
        <v>882</v>
      </c>
      <c r="I83" t="s">
        <v>17</v>
      </c>
      <c r="J83" t="s">
        <v>30</v>
      </c>
    </row>
    <row r="84" spans="1:11" x14ac:dyDescent="0.25">
      <c r="A84" t="s">
        <v>883</v>
      </c>
      <c r="B84" s="1">
        <v>11153</v>
      </c>
      <c r="C84" t="s">
        <v>884</v>
      </c>
      <c r="D84" t="s">
        <v>885</v>
      </c>
      <c r="E84" t="s">
        <v>886</v>
      </c>
      <c r="F84">
        <v>425</v>
      </c>
      <c r="G84">
        <v>2</v>
      </c>
      <c r="H84" t="s">
        <v>887</v>
      </c>
      <c r="I84" t="s">
        <v>17</v>
      </c>
      <c r="J84" t="s">
        <v>30</v>
      </c>
    </row>
    <row r="85" spans="1:11" x14ac:dyDescent="0.25">
      <c r="A85" t="s">
        <v>888</v>
      </c>
      <c r="B85" s="1">
        <v>3144</v>
      </c>
      <c r="C85" t="s">
        <v>889</v>
      </c>
      <c r="D85" t="s">
        <v>890</v>
      </c>
      <c r="E85" t="s">
        <v>891</v>
      </c>
      <c r="F85">
        <v>147</v>
      </c>
      <c r="G85">
        <v>1</v>
      </c>
      <c r="H85" t="s">
        <v>892</v>
      </c>
      <c r="I85" t="s">
        <v>17</v>
      </c>
      <c r="J85" t="s">
        <v>30</v>
      </c>
    </row>
    <row r="86" spans="1:11" x14ac:dyDescent="0.25">
      <c r="A86" t="s">
        <v>893</v>
      </c>
      <c r="B86" s="1">
        <v>1009</v>
      </c>
      <c r="C86" t="s">
        <v>894</v>
      </c>
      <c r="D86" t="s">
        <v>895</v>
      </c>
      <c r="E86" t="s">
        <v>896</v>
      </c>
      <c r="F86">
        <v>653</v>
      </c>
      <c r="G86">
        <v>1</v>
      </c>
      <c r="H86" t="s">
        <v>897</v>
      </c>
      <c r="I86" t="s">
        <v>17</v>
      </c>
      <c r="J86" t="s">
        <v>30</v>
      </c>
    </row>
    <row r="87" spans="1:11" x14ac:dyDescent="0.25">
      <c r="A87" t="s">
        <v>898</v>
      </c>
      <c r="B87" s="1">
        <v>3235</v>
      </c>
      <c r="C87" t="s">
        <v>899</v>
      </c>
      <c r="D87" t="s">
        <v>900</v>
      </c>
      <c r="E87" t="s">
        <v>901</v>
      </c>
      <c r="F87" s="1">
        <v>1349</v>
      </c>
      <c r="G87">
        <v>1</v>
      </c>
      <c r="H87" t="s">
        <v>902</v>
      </c>
      <c r="I87" t="s">
        <v>225</v>
      </c>
      <c r="J87" t="s">
        <v>30</v>
      </c>
    </row>
    <row r="88" spans="1:11" x14ac:dyDescent="0.25">
      <c r="A88" t="s">
        <v>903</v>
      </c>
      <c r="B88">
        <v>144</v>
      </c>
      <c r="C88" t="s">
        <v>904</v>
      </c>
      <c r="D88" t="s">
        <v>905</v>
      </c>
      <c r="E88" t="s">
        <v>906</v>
      </c>
      <c r="F88" s="1">
        <v>1584</v>
      </c>
      <c r="G88">
        <v>1</v>
      </c>
      <c r="H88" t="s">
        <v>907</v>
      </c>
      <c r="I88" t="s">
        <v>17</v>
      </c>
      <c r="J88" t="s">
        <v>30</v>
      </c>
    </row>
    <row r="89" spans="1:11" x14ac:dyDescent="0.25">
      <c r="A89" t="s">
        <v>908</v>
      </c>
      <c r="B89" s="1">
        <v>2425</v>
      </c>
      <c r="C89" t="s">
        <v>909</v>
      </c>
      <c r="D89" t="s">
        <v>910</v>
      </c>
      <c r="E89" t="s">
        <v>911</v>
      </c>
      <c r="F89" s="1">
        <v>2326</v>
      </c>
      <c r="G89">
        <v>1</v>
      </c>
      <c r="H89" t="s">
        <v>912</v>
      </c>
      <c r="I89" t="s">
        <v>17</v>
      </c>
      <c r="J89" t="s">
        <v>30</v>
      </c>
    </row>
    <row r="90" spans="1:11" x14ac:dyDescent="0.25">
      <c r="A90" t="s">
        <v>913</v>
      </c>
      <c r="B90" s="1">
        <v>2709</v>
      </c>
      <c r="C90" t="s">
        <v>914</v>
      </c>
      <c r="D90" t="s">
        <v>915</v>
      </c>
      <c r="E90" t="s">
        <v>916</v>
      </c>
      <c r="F90">
        <v>111</v>
      </c>
      <c r="G90">
        <v>1</v>
      </c>
      <c r="H90" t="s">
        <v>917</v>
      </c>
      <c r="I90" t="s">
        <v>17</v>
      </c>
      <c r="J90" t="s">
        <v>30</v>
      </c>
    </row>
    <row r="91" spans="1:11" x14ac:dyDescent="0.25">
      <c r="A91" t="s">
        <v>918</v>
      </c>
      <c r="B91" s="1">
        <v>14130</v>
      </c>
      <c r="C91" t="s">
        <v>919</v>
      </c>
      <c r="D91" t="s">
        <v>920</v>
      </c>
      <c r="E91" t="s">
        <v>921</v>
      </c>
      <c r="F91" s="1">
        <v>5107</v>
      </c>
      <c r="G91">
        <v>6</v>
      </c>
      <c r="H91" t="s">
        <v>922</v>
      </c>
      <c r="I91" t="s">
        <v>17</v>
      </c>
      <c r="J91" t="s">
        <v>30</v>
      </c>
    </row>
    <row r="92" spans="1:11" x14ac:dyDescent="0.25">
      <c r="A92" t="s">
        <v>31</v>
      </c>
      <c r="B92" s="1">
        <v>6245</v>
      </c>
      <c r="C92" t="s">
        <v>32</v>
      </c>
      <c r="D92" t="s">
        <v>33</v>
      </c>
      <c r="E92" t="s">
        <v>34</v>
      </c>
      <c r="F92" s="1">
        <v>10385</v>
      </c>
      <c r="G92">
        <v>4</v>
      </c>
      <c r="H92" t="s">
        <v>35</v>
      </c>
      <c r="I92" t="s">
        <v>17</v>
      </c>
      <c r="J92" t="s">
        <v>36</v>
      </c>
      <c r="K92" t="s">
        <v>37</v>
      </c>
    </row>
    <row r="93" spans="1:11" x14ac:dyDescent="0.25">
      <c r="A93" t="s">
        <v>45</v>
      </c>
      <c r="B93" s="1">
        <v>45640</v>
      </c>
      <c r="C93" t="s">
        <v>46</v>
      </c>
      <c r="D93" t="s">
        <v>47</v>
      </c>
      <c r="E93" t="s">
        <v>48</v>
      </c>
      <c r="F93" s="1">
        <v>10585</v>
      </c>
      <c r="G93">
        <v>9</v>
      </c>
      <c r="H93" t="s">
        <v>49</v>
      </c>
      <c r="I93" t="s">
        <v>17</v>
      </c>
      <c r="J93" t="s">
        <v>36</v>
      </c>
      <c r="K93" t="s">
        <v>50</v>
      </c>
    </row>
    <row r="94" spans="1:11" x14ac:dyDescent="0.25">
      <c r="A94" t="s">
        <v>51</v>
      </c>
      <c r="B94" s="1">
        <v>135324</v>
      </c>
      <c r="C94" t="s">
        <v>52</v>
      </c>
      <c r="D94" t="s">
        <v>53</v>
      </c>
      <c r="E94" t="s">
        <v>54</v>
      </c>
      <c r="F94" s="1">
        <v>10748</v>
      </c>
      <c r="G94">
        <v>9</v>
      </c>
      <c r="H94" t="s">
        <v>55</v>
      </c>
      <c r="I94" t="s">
        <v>17</v>
      </c>
      <c r="J94" t="s">
        <v>36</v>
      </c>
      <c r="K94" t="s">
        <v>37</v>
      </c>
    </row>
    <row r="95" spans="1:11" x14ac:dyDescent="0.25">
      <c r="A95" t="s">
        <v>66</v>
      </c>
      <c r="B95" s="1">
        <v>50834</v>
      </c>
      <c r="C95" t="s">
        <v>67</v>
      </c>
      <c r="D95" t="s">
        <v>68</v>
      </c>
      <c r="E95" t="s">
        <v>69</v>
      </c>
      <c r="F95" s="1">
        <v>10908</v>
      </c>
      <c r="G95">
        <v>5</v>
      </c>
      <c r="H95" t="s">
        <v>70</v>
      </c>
      <c r="I95" t="s">
        <v>17</v>
      </c>
      <c r="J95" t="s">
        <v>36</v>
      </c>
      <c r="K95" t="s">
        <v>50</v>
      </c>
    </row>
    <row r="96" spans="1:11" x14ac:dyDescent="0.25">
      <c r="A96" t="s">
        <v>71</v>
      </c>
      <c r="B96" s="1">
        <v>9573</v>
      </c>
      <c r="C96" t="s">
        <v>72</v>
      </c>
      <c r="D96" t="s">
        <v>73</v>
      </c>
      <c r="E96" t="s">
        <v>74</v>
      </c>
      <c r="F96" s="1">
        <v>10936</v>
      </c>
      <c r="G96">
        <v>1</v>
      </c>
      <c r="H96" t="s">
        <v>75</v>
      </c>
      <c r="I96" t="s">
        <v>17</v>
      </c>
      <c r="J96" t="s">
        <v>36</v>
      </c>
      <c r="K96" t="s">
        <v>50</v>
      </c>
    </row>
    <row r="97" spans="1:11" x14ac:dyDescent="0.25">
      <c r="A97" t="s">
        <v>81</v>
      </c>
      <c r="B97" s="1">
        <v>3338</v>
      </c>
      <c r="C97" t="s">
        <v>82</v>
      </c>
      <c r="D97" t="s">
        <v>83</v>
      </c>
      <c r="E97" t="s">
        <v>84</v>
      </c>
      <c r="F97" s="1">
        <v>11517</v>
      </c>
      <c r="G97">
        <v>6</v>
      </c>
      <c r="H97" t="s">
        <v>85</v>
      </c>
      <c r="I97" t="s">
        <v>17</v>
      </c>
      <c r="J97" t="s">
        <v>36</v>
      </c>
      <c r="K97" t="s">
        <v>50</v>
      </c>
    </row>
    <row r="98" spans="1:11" x14ac:dyDescent="0.25">
      <c r="A98" t="s">
        <v>103</v>
      </c>
      <c r="B98" s="1">
        <v>2165</v>
      </c>
      <c r="C98" t="s">
        <v>104</v>
      </c>
      <c r="D98" t="s">
        <v>105</v>
      </c>
      <c r="E98" t="s">
        <v>106</v>
      </c>
      <c r="F98" s="1">
        <v>12139</v>
      </c>
      <c r="G98">
        <v>2</v>
      </c>
      <c r="H98" t="s">
        <v>107</v>
      </c>
      <c r="I98" t="s">
        <v>17</v>
      </c>
      <c r="J98" t="s">
        <v>36</v>
      </c>
      <c r="K98" t="s">
        <v>50</v>
      </c>
    </row>
    <row r="99" spans="1:11" x14ac:dyDescent="0.25">
      <c r="A99" t="s">
        <v>113</v>
      </c>
      <c r="B99" s="1">
        <v>1329</v>
      </c>
      <c r="C99" t="s">
        <v>114</v>
      </c>
      <c r="D99" t="s">
        <v>115</v>
      </c>
      <c r="E99" t="s">
        <v>116</v>
      </c>
      <c r="F99" s="1">
        <v>12374</v>
      </c>
      <c r="G99">
        <v>5</v>
      </c>
      <c r="H99" t="s">
        <v>117</v>
      </c>
      <c r="I99" t="s">
        <v>17</v>
      </c>
      <c r="J99" t="s">
        <v>36</v>
      </c>
      <c r="K99" t="s">
        <v>50</v>
      </c>
    </row>
    <row r="100" spans="1:11" x14ac:dyDescent="0.25">
      <c r="A100" t="s">
        <v>118</v>
      </c>
      <c r="B100" s="1">
        <v>6780</v>
      </c>
      <c r="C100" t="s">
        <v>119</v>
      </c>
      <c r="D100" t="s">
        <v>120</v>
      </c>
      <c r="E100" t="s">
        <v>121</v>
      </c>
      <c r="F100" s="1">
        <v>12416</v>
      </c>
      <c r="G100">
        <v>1</v>
      </c>
      <c r="H100" t="s">
        <v>122</v>
      </c>
      <c r="I100" t="s">
        <v>17</v>
      </c>
      <c r="J100" t="s">
        <v>36</v>
      </c>
      <c r="K100" t="s">
        <v>37</v>
      </c>
    </row>
    <row r="101" spans="1:11" x14ac:dyDescent="0.25">
      <c r="A101" t="s">
        <v>123</v>
      </c>
      <c r="B101" s="1">
        <v>5723</v>
      </c>
      <c r="C101" t="s">
        <v>124</v>
      </c>
      <c r="D101" t="s">
        <v>125</v>
      </c>
      <c r="E101" t="s">
        <v>126</v>
      </c>
      <c r="F101" s="1">
        <v>12479</v>
      </c>
      <c r="G101">
        <v>2</v>
      </c>
      <c r="H101" t="s">
        <v>127</v>
      </c>
      <c r="I101" t="s">
        <v>17</v>
      </c>
      <c r="J101" t="s">
        <v>36</v>
      </c>
      <c r="K101" t="s">
        <v>50</v>
      </c>
    </row>
    <row r="102" spans="1:11" x14ac:dyDescent="0.25">
      <c r="A102" t="s">
        <v>128</v>
      </c>
      <c r="B102" s="1">
        <v>32214</v>
      </c>
      <c r="C102" t="s">
        <v>129</v>
      </c>
      <c r="D102" t="s">
        <v>130</v>
      </c>
      <c r="E102" t="s">
        <v>131</v>
      </c>
      <c r="F102" s="1">
        <v>12693</v>
      </c>
      <c r="G102">
        <v>2</v>
      </c>
      <c r="H102" t="s">
        <v>132</v>
      </c>
      <c r="I102" t="s">
        <v>17</v>
      </c>
      <c r="J102" t="s">
        <v>36</v>
      </c>
      <c r="K102" t="s">
        <v>50</v>
      </c>
    </row>
    <row r="103" spans="1:11" x14ac:dyDescent="0.25">
      <c r="A103" t="s">
        <v>149</v>
      </c>
      <c r="B103" s="1">
        <v>2130</v>
      </c>
      <c r="C103" t="s">
        <v>150</v>
      </c>
      <c r="D103" t="s">
        <v>151</v>
      </c>
      <c r="E103" t="s">
        <v>152</v>
      </c>
      <c r="F103" s="1">
        <v>13813</v>
      </c>
      <c r="G103">
        <v>2</v>
      </c>
      <c r="H103" t="s">
        <v>153</v>
      </c>
      <c r="I103" t="s">
        <v>17</v>
      </c>
      <c r="J103" t="s">
        <v>36</v>
      </c>
      <c r="K103" t="s">
        <v>37</v>
      </c>
    </row>
    <row r="104" spans="1:11" x14ac:dyDescent="0.25">
      <c r="A104" t="s">
        <v>159</v>
      </c>
      <c r="B104" s="1">
        <v>10736</v>
      </c>
      <c r="C104" t="s">
        <v>160</v>
      </c>
      <c r="D104" t="s">
        <v>161</v>
      </c>
      <c r="E104" t="s">
        <v>162</v>
      </c>
      <c r="F104" s="1">
        <v>14372</v>
      </c>
      <c r="G104">
        <v>2</v>
      </c>
      <c r="H104" t="s">
        <v>163</v>
      </c>
      <c r="I104" t="s">
        <v>17</v>
      </c>
      <c r="J104" t="s">
        <v>36</v>
      </c>
      <c r="K104" t="s">
        <v>37</v>
      </c>
    </row>
    <row r="105" spans="1:11" x14ac:dyDescent="0.25">
      <c r="A105" t="s">
        <v>180</v>
      </c>
      <c r="B105" s="1">
        <v>17615</v>
      </c>
      <c r="C105" t="s">
        <v>181</v>
      </c>
      <c r="D105" t="s">
        <v>182</v>
      </c>
      <c r="E105" t="s">
        <v>183</v>
      </c>
      <c r="F105" s="1">
        <v>15524</v>
      </c>
      <c r="G105">
        <v>4</v>
      </c>
      <c r="H105" t="s">
        <v>184</v>
      </c>
      <c r="I105" t="s">
        <v>17</v>
      </c>
      <c r="J105" t="s">
        <v>36</v>
      </c>
      <c r="K105" t="s">
        <v>50</v>
      </c>
    </row>
    <row r="106" spans="1:11" x14ac:dyDescent="0.25">
      <c r="A106" t="s">
        <v>195</v>
      </c>
      <c r="B106" s="1">
        <v>13379</v>
      </c>
      <c r="C106" t="s">
        <v>196</v>
      </c>
      <c r="D106" t="s">
        <v>197</v>
      </c>
      <c r="E106" t="s">
        <v>198</v>
      </c>
      <c r="F106" s="1">
        <v>15750</v>
      </c>
      <c r="G106">
        <v>3</v>
      </c>
      <c r="H106" t="s">
        <v>199</v>
      </c>
      <c r="I106" t="s">
        <v>17</v>
      </c>
      <c r="J106" t="s">
        <v>36</v>
      </c>
      <c r="K106" t="s">
        <v>50</v>
      </c>
    </row>
    <row r="107" spans="1:11" x14ac:dyDescent="0.25">
      <c r="A107" t="s">
        <v>200</v>
      </c>
      <c r="B107" s="1">
        <v>2402</v>
      </c>
      <c r="C107" t="s">
        <v>201</v>
      </c>
      <c r="D107" t="s">
        <v>202</v>
      </c>
      <c r="E107" t="s">
        <v>203</v>
      </c>
      <c r="F107" s="1">
        <v>16385</v>
      </c>
      <c r="G107">
        <v>1</v>
      </c>
      <c r="H107" t="s">
        <v>204</v>
      </c>
      <c r="I107" t="s">
        <v>174</v>
      </c>
      <c r="J107" t="s">
        <v>36</v>
      </c>
      <c r="K107" t="s">
        <v>37</v>
      </c>
    </row>
    <row r="108" spans="1:11" x14ac:dyDescent="0.25">
      <c r="A108" t="s">
        <v>215</v>
      </c>
      <c r="B108">
        <v>797</v>
      </c>
      <c r="C108" t="s">
        <v>216</v>
      </c>
      <c r="D108" t="s">
        <v>217</v>
      </c>
      <c r="E108" t="s">
        <v>218</v>
      </c>
      <c r="F108" s="1">
        <v>17157</v>
      </c>
      <c r="G108">
        <v>2</v>
      </c>
      <c r="H108" t="s">
        <v>219</v>
      </c>
      <c r="I108" t="s">
        <v>17</v>
      </c>
      <c r="J108" t="s">
        <v>36</v>
      </c>
      <c r="K108" t="s">
        <v>50</v>
      </c>
    </row>
    <row r="109" spans="1:11" x14ac:dyDescent="0.25">
      <c r="A109" t="s">
        <v>226</v>
      </c>
      <c r="B109">
        <v>294</v>
      </c>
      <c r="C109" t="s">
        <v>227</v>
      </c>
      <c r="D109" t="s">
        <v>228</v>
      </c>
      <c r="E109" t="s">
        <v>229</v>
      </c>
      <c r="F109" s="1">
        <v>18200</v>
      </c>
      <c r="G109">
        <v>4</v>
      </c>
      <c r="H109" t="s">
        <v>230</v>
      </c>
      <c r="I109" t="s">
        <v>17</v>
      </c>
      <c r="J109" t="s">
        <v>36</v>
      </c>
      <c r="K109" t="s">
        <v>37</v>
      </c>
    </row>
    <row r="110" spans="1:11" x14ac:dyDescent="0.25">
      <c r="A110" t="s">
        <v>257</v>
      </c>
      <c r="B110" s="1">
        <v>1687</v>
      </c>
      <c r="C110" t="s">
        <v>258</v>
      </c>
      <c r="D110" t="s">
        <v>259</v>
      </c>
      <c r="E110" t="s">
        <v>260</v>
      </c>
      <c r="F110" s="1">
        <v>20317</v>
      </c>
      <c r="G110">
        <v>3</v>
      </c>
      <c r="H110" t="s">
        <v>261</v>
      </c>
      <c r="I110" t="s">
        <v>17</v>
      </c>
      <c r="J110" t="s">
        <v>36</v>
      </c>
      <c r="K110" t="s">
        <v>37</v>
      </c>
    </row>
    <row r="111" spans="1:11" x14ac:dyDescent="0.25">
      <c r="A111" t="s">
        <v>267</v>
      </c>
      <c r="B111" s="1">
        <v>11682</v>
      </c>
      <c r="C111" t="s">
        <v>268</v>
      </c>
      <c r="D111" t="s">
        <v>269</v>
      </c>
      <c r="E111" t="s">
        <v>270</v>
      </c>
      <c r="F111" s="1">
        <v>21378</v>
      </c>
      <c r="G111">
        <v>3</v>
      </c>
      <c r="H111" t="s">
        <v>271</v>
      </c>
      <c r="I111" t="s">
        <v>17</v>
      </c>
      <c r="J111" t="s">
        <v>36</v>
      </c>
      <c r="K111" t="s">
        <v>50</v>
      </c>
    </row>
    <row r="112" spans="1:11" x14ac:dyDescent="0.25">
      <c r="A112" t="s">
        <v>283</v>
      </c>
      <c r="B112" s="1">
        <v>2763</v>
      </c>
      <c r="C112" t="s">
        <v>284</v>
      </c>
      <c r="D112" t="s">
        <v>285</v>
      </c>
      <c r="E112" t="s">
        <v>286</v>
      </c>
      <c r="F112" s="1">
        <v>22649</v>
      </c>
      <c r="G112">
        <v>2</v>
      </c>
      <c r="H112" t="s">
        <v>287</v>
      </c>
      <c r="I112" t="s">
        <v>17</v>
      </c>
      <c r="J112" t="s">
        <v>36</v>
      </c>
      <c r="K112" t="s">
        <v>37</v>
      </c>
    </row>
    <row r="113" spans="1:11" x14ac:dyDescent="0.25">
      <c r="A113" t="s">
        <v>297</v>
      </c>
      <c r="B113" s="1">
        <v>6246</v>
      </c>
      <c r="C113" t="s">
        <v>298</v>
      </c>
      <c r="D113" t="s">
        <v>299</v>
      </c>
      <c r="E113" t="s">
        <v>300</v>
      </c>
      <c r="F113" s="1">
        <v>23200</v>
      </c>
      <c r="G113">
        <v>5</v>
      </c>
      <c r="H113" t="s">
        <v>301</v>
      </c>
      <c r="I113" t="s">
        <v>17</v>
      </c>
      <c r="J113" t="s">
        <v>36</v>
      </c>
      <c r="K113" t="s">
        <v>37</v>
      </c>
    </row>
    <row r="114" spans="1:11" x14ac:dyDescent="0.25">
      <c r="A114" t="s">
        <v>337</v>
      </c>
      <c r="B114" s="1">
        <v>17600</v>
      </c>
      <c r="C114" t="s">
        <v>338</v>
      </c>
      <c r="D114" t="s">
        <v>339</v>
      </c>
      <c r="E114" t="s">
        <v>335</v>
      </c>
      <c r="F114" s="1">
        <v>26607</v>
      </c>
      <c r="G114">
        <v>1</v>
      </c>
      <c r="H114" t="s">
        <v>340</v>
      </c>
      <c r="I114" t="s">
        <v>17</v>
      </c>
      <c r="J114" t="s">
        <v>36</v>
      </c>
      <c r="K114" t="s">
        <v>37</v>
      </c>
    </row>
    <row r="115" spans="1:11" x14ac:dyDescent="0.25">
      <c r="A115" t="s">
        <v>341</v>
      </c>
      <c r="B115" s="1">
        <v>10653</v>
      </c>
      <c r="C115" t="s">
        <v>342</v>
      </c>
      <c r="D115" t="s">
        <v>343</v>
      </c>
      <c r="E115" t="s">
        <v>344</v>
      </c>
      <c r="F115" s="1">
        <v>26693</v>
      </c>
      <c r="G115">
        <v>6</v>
      </c>
      <c r="H115" t="s">
        <v>345</v>
      </c>
      <c r="I115" t="s">
        <v>91</v>
      </c>
      <c r="J115" t="s">
        <v>36</v>
      </c>
      <c r="K115" t="s">
        <v>50</v>
      </c>
    </row>
    <row r="116" spans="1:11" x14ac:dyDescent="0.25">
      <c r="A116" t="s">
        <v>351</v>
      </c>
      <c r="B116" s="1">
        <v>12699</v>
      </c>
      <c r="C116" t="s">
        <v>352</v>
      </c>
      <c r="D116" t="s">
        <v>353</v>
      </c>
      <c r="E116" t="s">
        <v>354</v>
      </c>
      <c r="F116" s="1">
        <v>28415</v>
      </c>
      <c r="G116">
        <v>1</v>
      </c>
      <c r="H116" t="s">
        <v>355</v>
      </c>
      <c r="I116" t="s">
        <v>17</v>
      </c>
      <c r="J116" t="s">
        <v>36</v>
      </c>
      <c r="K116" t="s">
        <v>50</v>
      </c>
    </row>
    <row r="117" spans="1:11" x14ac:dyDescent="0.25">
      <c r="A117" t="s">
        <v>382</v>
      </c>
      <c r="B117">
        <v>905</v>
      </c>
      <c r="C117" t="s">
        <v>383</v>
      </c>
      <c r="D117" t="s">
        <v>384</v>
      </c>
      <c r="E117" t="s">
        <v>385</v>
      </c>
      <c r="F117" s="1">
        <v>33758</v>
      </c>
      <c r="G117">
        <v>2</v>
      </c>
      <c r="H117" t="s">
        <v>386</v>
      </c>
      <c r="I117" t="s">
        <v>17</v>
      </c>
      <c r="J117" t="s">
        <v>36</v>
      </c>
      <c r="K117" t="s">
        <v>37</v>
      </c>
    </row>
    <row r="118" spans="1:11" x14ac:dyDescent="0.25">
      <c r="A118" t="s">
        <v>402</v>
      </c>
      <c r="B118">
        <v>865</v>
      </c>
      <c r="C118" t="s">
        <v>403</v>
      </c>
      <c r="D118" t="s">
        <v>404</v>
      </c>
      <c r="E118" t="s">
        <v>405</v>
      </c>
      <c r="F118" s="1">
        <v>37391</v>
      </c>
      <c r="G118">
        <v>2</v>
      </c>
      <c r="H118" t="s">
        <v>406</v>
      </c>
      <c r="I118" t="s">
        <v>17</v>
      </c>
      <c r="J118" t="s">
        <v>36</v>
      </c>
      <c r="K118" t="s">
        <v>50</v>
      </c>
    </row>
    <row r="119" spans="1:11" x14ac:dyDescent="0.25">
      <c r="A119" t="s">
        <v>432</v>
      </c>
      <c r="B119" s="1">
        <v>23885</v>
      </c>
      <c r="C119" t="s">
        <v>433</v>
      </c>
      <c r="D119" t="s">
        <v>434</v>
      </c>
      <c r="E119" t="s">
        <v>435</v>
      </c>
      <c r="F119" s="1">
        <v>49033</v>
      </c>
      <c r="G119">
        <v>8</v>
      </c>
      <c r="H119" t="s">
        <v>436</v>
      </c>
      <c r="I119" t="s">
        <v>17</v>
      </c>
      <c r="J119" t="s">
        <v>36</v>
      </c>
      <c r="K119" t="s">
        <v>50</v>
      </c>
    </row>
    <row r="120" spans="1:11" x14ac:dyDescent="0.25">
      <c r="A120" t="s">
        <v>452</v>
      </c>
      <c r="B120" s="1">
        <v>2741</v>
      </c>
      <c r="C120" t="s">
        <v>453</v>
      </c>
      <c r="D120" t="s">
        <v>454</v>
      </c>
      <c r="E120" t="s">
        <v>455</v>
      </c>
      <c r="F120" s="1">
        <v>55947</v>
      </c>
      <c r="G120">
        <v>2</v>
      </c>
      <c r="H120" t="s">
        <v>456</v>
      </c>
      <c r="I120" t="s">
        <v>17</v>
      </c>
      <c r="J120" t="s">
        <v>36</v>
      </c>
      <c r="K120" t="s">
        <v>37</v>
      </c>
    </row>
    <row r="121" spans="1:11" x14ac:dyDescent="0.25">
      <c r="A121" t="s">
        <v>467</v>
      </c>
      <c r="B121" s="1">
        <v>2505</v>
      </c>
      <c r="C121" t="s">
        <v>468</v>
      </c>
      <c r="D121" t="s">
        <v>469</v>
      </c>
      <c r="E121" t="s">
        <v>470</v>
      </c>
      <c r="F121" s="1">
        <v>62376</v>
      </c>
      <c r="G121">
        <v>2</v>
      </c>
      <c r="H121" t="s">
        <v>261</v>
      </c>
      <c r="I121" t="s">
        <v>17</v>
      </c>
      <c r="J121" t="s">
        <v>36</v>
      </c>
      <c r="K121" t="s">
        <v>37</v>
      </c>
    </row>
    <row r="122" spans="1:11" x14ac:dyDescent="0.25">
      <c r="A122" t="s">
        <v>490</v>
      </c>
      <c r="B122" s="1">
        <v>2552</v>
      </c>
      <c r="C122" t="s">
        <v>491</v>
      </c>
      <c r="D122" t="s">
        <v>492</v>
      </c>
      <c r="E122" t="s">
        <v>493</v>
      </c>
      <c r="F122" s="1">
        <v>82514</v>
      </c>
      <c r="G122">
        <v>2</v>
      </c>
      <c r="H122" t="s">
        <v>494</v>
      </c>
      <c r="I122" t="s">
        <v>17</v>
      </c>
      <c r="J122" t="s">
        <v>36</v>
      </c>
      <c r="K122" t="s">
        <v>50</v>
      </c>
    </row>
    <row r="123" spans="1:11" x14ac:dyDescent="0.25">
      <c r="A123" t="s">
        <v>520</v>
      </c>
      <c r="B123" s="1">
        <v>7857</v>
      </c>
      <c r="C123" t="s">
        <v>521</v>
      </c>
      <c r="D123" t="s">
        <v>522</v>
      </c>
      <c r="E123" t="s">
        <v>523</v>
      </c>
      <c r="F123" s="1">
        <v>101612</v>
      </c>
      <c r="G123">
        <v>5</v>
      </c>
      <c r="H123" t="s">
        <v>524</v>
      </c>
      <c r="I123" t="s">
        <v>17</v>
      </c>
      <c r="J123" t="s">
        <v>36</v>
      </c>
      <c r="K123" t="s">
        <v>37</v>
      </c>
    </row>
    <row r="124" spans="1:11" x14ac:dyDescent="0.25">
      <c r="A124" t="s">
        <v>549</v>
      </c>
      <c r="B124" s="1">
        <v>67679</v>
      </c>
      <c r="C124" t="s">
        <v>550</v>
      </c>
      <c r="D124" t="s">
        <v>551</v>
      </c>
      <c r="E124" t="s">
        <v>552</v>
      </c>
      <c r="F124" s="1">
        <v>215134</v>
      </c>
      <c r="G124">
        <v>4</v>
      </c>
      <c r="H124" t="s">
        <v>553</v>
      </c>
      <c r="I124" t="s">
        <v>17</v>
      </c>
      <c r="J124" t="s">
        <v>36</v>
      </c>
      <c r="K124" t="s">
        <v>50</v>
      </c>
    </row>
    <row r="125" spans="1:11" x14ac:dyDescent="0.25">
      <c r="A125" t="s">
        <v>559</v>
      </c>
      <c r="B125" s="1">
        <v>3926</v>
      </c>
      <c r="C125" t="s">
        <v>560</v>
      </c>
      <c r="D125" t="s">
        <v>561</v>
      </c>
      <c r="E125" t="s">
        <v>562</v>
      </c>
      <c r="F125" s="1">
        <v>241802</v>
      </c>
      <c r="G125">
        <v>2</v>
      </c>
      <c r="H125" t="s">
        <v>563</v>
      </c>
      <c r="I125" t="s">
        <v>17</v>
      </c>
      <c r="J125" t="s">
        <v>36</v>
      </c>
      <c r="K125" t="s">
        <v>50</v>
      </c>
    </row>
    <row r="126" spans="1:11" x14ac:dyDescent="0.25">
      <c r="A126" t="s">
        <v>568</v>
      </c>
      <c r="B126" s="1">
        <v>10860</v>
      </c>
      <c r="C126" t="s">
        <v>569</v>
      </c>
      <c r="D126" t="s">
        <v>570</v>
      </c>
      <c r="E126" t="s">
        <v>571</v>
      </c>
      <c r="F126" s="1">
        <v>363732</v>
      </c>
      <c r="G126">
        <v>2</v>
      </c>
      <c r="H126" t="s">
        <v>572</v>
      </c>
      <c r="I126" t="s">
        <v>17</v>
      </c>
      <c r="J126" t="s">
        <v>36</v>
      </c>
      <c r="K126" t="s">
        <v>50</v>
      </c>
    </row>
    <row r="127" spans="1:11" x14ac:dyDescent="0.25">
      <c r="A127" t="s">
        <v>923</v>
      </c>
      <c r="B127" s="1">
        <v>53974</v>
      </c>
      <c r="C127" t="s">
        <v>924</v>
      </c>
      <c r="D127" t="s">
        <v>925</v>
      </c>
      <c r="E127" t="s">
        <v>926</v>
      </c>
      <c r="F127" s="1">
        <v>1499</v>
      </c>
      <c r="G127">
        <v>6</v>
      </c>
      <c r="H127" t="s">
        <v>927</v>
      </c>
      <c r="I127" t="s">
        <v>17</v>
      </c>
      <c r="J127" t="s">
        <v>36</v>
      </c>
      <c r="K127" t="s">
        <v>50</v>
      </c>
    </row>
    <row r="128" spans="1:11" x14ac:dyDescent="0.25">
      <c r="A128" t="s">
        <v>928</v>
      </c>
      <c r="B128" s="1">
        <v>128558</v>
      </c>
      <c r="C128" t="s">
        <v>929</v>
      </c>
      <c r="D128" t="s">
        <v>930</v>
      </c>
      <c r="E128" t="s">
        <v>931</v>
      </c>
      <c r="F128">
        <v>893</v>
      </c>
      <c r="G128">
        <v>6</v>
      </c>
      <c r="H128" t="s">
        <v>932</v>
      </c>
      <c r="I128" t="s">
        <v>17</v>
      </c>
      <c r="J128" t="s">
        <v>36</v>
      </c>
      <c r="K128" t="s">
        <v>50</v>
      </c>
    </row>
    <row r="129" spans="1:11" x14ac:dyDescent="0.25">
      <c r="A129" t="s">
        <v>933</v>
      </c>
      <c r="B129" s="1">
        <v>5559</v>
      </c>
      <c r="C129" t="s">
        <v>934</v>
      </c>
      <c r="D129" t="s">
        <v>935</v>
      </c>
      <c r="E129" t="s">
        <v>936</v>
      </c>
      <c r="F129">
        <v>133</v>
      </c>
      <c r="G129">
        <v>2</v>
      </c>
      <c r="H129" t="s">
        <v>937</v>
      </c>
      <c r="I129" t="s">
        <v>17</v>
      </c>
      <c r="J129" t="s">
        <v>36</v>
      </c>
      <c r="K129" t="s">
        <v>50</v>
      </c>
    </row>
    <row r="130" spans="1:11" x14ac:dyDescent="0.25">
      <c r="A130" t="s">
        <v>938</v>
      </c>
      <c r="B130" s="1">
        <v>28876</v>
      </c>
      <c r="C130" t="s">
        <v>939</v>
      </c>
      <c r="D130" t="s">
        <v>940</v>
      </c>
      <c r="E130" t="s">
        <v>941</v>
      </c>
      <c r="F130" s="1">
        <v>5443</v>
      </c>
      <c r="G130">
        <v>4</v>
      </c>
      <c r="H130" t="s">
        <v>942</v>
      </c>
      <c r="I130" t="s">
        <v>17</v>
      </c>
      <c r="J130" t="s">
        <v>36</v>
      </c>
      <c r="K130" t="s">
        <v>50</v>
      </c>
    </row>
    <row r="131" spans="1:11" x14ac:dyDescent="0.25">
      <c r="A131" t="s">
        <v>943</v>
      </c>
      <c r="B131" s="1">
        <v>110849</v>
      </c>
      <c r="C131" t="s">
        <v>944</v>
      </c>
      <c r="D131" t="s">
        <v>945</v>
      </c>
      <c r="E131" t="s">
        <v>946</v>
      </c>
      <c r="F131">
        <v>759</v>
      </c>
      <c r="G131">
        <v>9</v>
      </c>
      <c r="H131" t="s">
        <v>947</v>
      </c>
      <c r="I131" t="s">
        <v>17</v>
      </c>
      <c r="J131" t="s">
        <v>36</v>
      </c>
      <c r="K131" t="s">
        <v>50</v>
      </c>
    </row>
    <row r="132" spans="1:11" x14ac:dyDescent="0.25">
      <c r="A132" t="s">
        <v>948</v>
      </c>
      <c r="B132" s="1">
        <v>3324</v>
      </c>
      <c r="C132" t="s">
        <v>949</v>
      </c>
      <c r="D132" t="s">
        <v>950</v>
      </c>
      <c r="E132" t="s">
        <v>951</v>
      </c>
      <c r="F132">
        <v>284</v>
      </c>
      <c r="G132">
        <v>1</v>
      </c>
      <c r="H132" t="s">
        <v>952</v>
      </c>
      <c r="I132" t="s">
        <v>17</v>
      </c>
      <c r="J132" t="s">
        <v>36</v>
      </c>
      <c r="K132" t="s">
        <v>50</v>
      </c>
    </row>
    <row r="133" spans="1:11" x14ac:dyDescent="0.25">
      <c r="A133" t="s">
        <v>953</v>
      </c>
      <c r="B133">
        <v>135</v>
      </c>
      <c r="C133" t="s">
        <v>954</v>
      </c>
      <c r="D133" t="s">
        <v>955</v>
      </c>
      <c r="E133" t="s">
        <v>956</v>
      </c>
      <c r="F133">
        <v>709</v>
      </c>
      <c r="G133">
        <v>1</v>
      </c>
      <c r="H133" t="s">
        <v>957</v>
      </c>
      <c r="I133" t="s">
        <v>17</v>
      </c>
      <c r="J133" t="s">
        <v>36</v>
      </c>
      <c r="K133" t="s">
        <v>50</v>
      </c>
    </row>
    <row r="134" spans="1:11" x14ac:dyDescent="0.25">
      <c r="A134" t="s">
        <v>958</v>
      </c>
      <c r="B134" s="1">
        <v>11745</v>
      </c>
      <c r="C134" t="s">
        <v>959</v>
      </c>
      <c r="D134" t="s">
        <v>960</v>
      </c>
      <c r="E134" t="s">
        <v>961</v>
      </c>
      <c r="F134" s="1">
        <v>7238</v>
      </c>
      <c r="G134">
        <v>5</v>
      </c>
      <c r="H134" t="s">
        <v>962</v>
      </c>
      <c r="I134" t="s">
        <v>17</v>
      </c>
      <c r="J134" t="s">
        <v>36</v>
      </c>
      <c r="K134" t="s">
        <v>50</v>
      </c>
    </row>
    <row r="135" spans="1:11" x14ac:dyDescent="0.25">
      <c r="A135" t="s">
        <v>963</v>
      </c>
      <c r="B135" s="1">
        <v>44462</v>
      </c>
      <c r="C135" t="s">
        <v>964</v>
      </c>
      <c r="D135" t="s">
        <v>965</v>
      </c>
      <c r="E135" t="s">
        <v>966</v>
      </c>
      <c r="F135" s="1">
        <v>7984</v>
      </c>
      <c r="G135">
        <v>10</v>
      </c>
      <c r="H135" t="s">
        <v>967</v>
      </c>
      <c r="I135" t="s">
        <v>17</v>
      </c>
      <c r="J135" t="s">
        <v>36</v>
      </c>
      <c r="K135" t="s">
        <v>50</v>
      </c>
    </row>
    <row r="136" spans="1:11" x14ac:dyDescent="0.25">
      <c r="A136" t="s">
        <v>968</v>
      </c>
      <c r="B136" s="1">
        <v>6913</v>
      </c>
      <c r="C136" t="s">
        <v>969</v>
      </c>
      <c r="D136" t="s">
        <v>970</v>
      </c>
      <c r="E136" t="s">
        <v>971</v>
      </c>
      <c r="F136">
        <v>499</v>
      </c>
      <c r="G136">
        <v>1</v>
      </c>
      <c r="H136" t="s">
        <v>972</v>
      </c>
      <c r="I136" t="s">
        <v>17</v>
      </c>
      <c r="J136" t="s">
        <v>36</v>
      </c>
      <c r="K136" t="s">
        <v>50</v>
      </c>
    </row>
    <row r="137" spans="1:11" x14ac:dyDescent="0.25">
      <c r="A137" t="s">
        <v>973</v>
      </c>
      <c r="B137" s="1">
        <v>3781</v>
      </c>
      <c r="C137" t="s">
        <v>974</v>
      </c>
      <c r="D137" t="s">
        <v>975</v>
      </c>
      <c r="E137" t="s">
        <v>976</v>
      </c>
      <c r="F137">
        <v>888</v>
      </c>
      <c r="G137">
        <v>1</v>
      </c>
      <c r="H137" t="s">
        <v>360</v>
      </c>
      <c r="I137" t="s">
        <v>17</v>
      </c>
      <c r="J137" t="s">
        <v>36</v>
      </c>
      <c r="K137" t="s">
        <v>50</v>
      </c>
    </row>
    <row r="138" spans="1:11" x14ac:dyDescent="0.25">
      <c r="A138" t="s">
        <v>977</v>
      </c>
      <c r="B138" s="1">
        <v>13722</v>
      </c>
      <c r="C138" t="s">
        <v>978</v>
      </c>
      <c r="D138" t="s">
        <v>979</v>
      </c>
      <c r="E138" t="s">
        <v>980</v>
      </c>
      <c r="F138">
        <v>310</v>
      </c>
      <c r="G138">
        <v>2</v>
      </c>
      <c r="H138" t="s">
        <v>981</v>
      </c>
      <c r="I138" t="s">
        <v>17</v>
      </c>
      <c r="J138" t="s">
        <v>36</v>
      </c>
      <c r="K138" t="s">
        <v>50</v>
      </c>
    </row>
    <row r="139" spans="1:11" x14ac:dyDescent="0.25">
      <c r="A139" t="s">
        <v>982</v>
      </c>
      <c r="B139" s="1">
        <v>18827</v>
      </c>
      <c r="C139" t="s">
        <v>983</v>
      </c>
      <c r="D139" t="s">
        <v>984</v>
      </c>
      <c r="E139" t="s">
        <v>985</v>
      </c>
      <c r="F139">
        <v>911</v>
      </c>
      <c r="G139">
        <v>4</v>
      </c>
      <c r="H139" t="s">
        <v>986</v>
      </c>
      <c r="I139" t="s">
        <v>17</v>
      </c>
      <c r="J139" t="s">
        <v>36</v>
      </c>
      <c r="K139" t="s">
        <v>50</v>
      </c>
    </row>
    <row r="140" spans="1:11" x14ac:dyDescent="0.25">
      <c r="A140" t="s">
        <v>987</v>
      </c>
      <c r="B140" s="1">
        <v>3296</v>
      </c>
      <c r="C140" t="s">
        <v>988</v>
      </c>
      <c r="D140" t="s">
        <v>989</v>
      </c>
      <c r="E140" t="s">
        <v>990</v>
      </c>
      <c r="F140">
        <v>335</v>
      </c>
      <c r="G140">
        <v>2</v>
      </c>
      <c r="H140" t="s">
        <v>991</v>
      </c>
      <c r="I140" t="s">
        <v>17</v>
      </c>
      <c r="J140" t="s">
        <v>36</v>
      </c>
      <c r="K140" t="s">
        <v>50</v>
      </c>
    </row>
    <row r="141" spans="1:11" x14ac:dyDescent="0.25">
      <c r="A141" t="s">
        <v>992</v>
      </c>
      <c r="B141" s="1">
        <v>25303</v>
      </c>
      <c r="C141" t="s">
        <v>993</v>
      </c>
      <c r="D141" t="s">
        <v>994</v>
      </c>
      <c r="E141" t="s">
        <v>995</v>
      </c>
      <c r="F141">
        <v>285</v>
      </c>
      <c r="G141">
        <v>2</v>
      </c>
      <c r="H141" t="s">
        <v>996</v>
      </c>
      <c r="I141" t="s">
        <v>17</v>
      </c>
      <c r="J141" t="s">
        <v>36</v>
      </c>
      <c r="K141" t="s">
        <v>50</v>
      </c>
    </row>
    <row r="142" spans="1:11" x14ac:dyDescent="0.25">
      <c r="A142" t="s">
        <v>997</v>
      </c>
      <c r="B142">
        <v>114</v>
      </c>
      <c r="C142" t="s">
        <v>998</v>
      </c>
      <c r="D142" t="s">
        <v>999</v>
      </c>
      <c r="E142" t="s">
        <v>1000</v>
      </c>
      <c r="F142">
        <v>171</v>
      </c>
      <c r="G142">
        <v>2</v>
      </c>
      <c r="H142" t="s">
        <v>1001</v>
      </c>
      <c r="I142" t="s">
        <v>17</v>
      </c>
      <c r="J142" t="s">
        <v>36</v>
      </c>
      <c r="K142" t="s">
        <v>50</v>
      </c>
    </row>
    <row r="143" spans="1:11" x14ac:dyDescent="0.25">
      <c r="A143" t="s">
        <v>1002</v>
      </c>
      <c r="B143" s="1">
        <v>19044</v>
      </c>
      <c r="C143" t="s">
        <v>1003</v>
      </c>
      <c r="D143" t="s">
        <v>1004</v>
      </c>
      <c r="E143" t="s">
        <v>1005</v>
      </c>
      <c r="F143" s="1">
        <v>2571</v>
      </c>
      <c r="G143">
        <v>2</v>
      </c>
      <c r="H143" t="s">
        <v>1006</v>
      </c>
      <c r="I143" t="s">
        <v>17</v>
      </c>
      <c r="J143" t="s">
        <v>36</v>
      </c>
      <c r="K143" t="s">
        <v>50</v>
      </c>
    </row>
    <row r="144" spans="1:11" x14ac:dyDescent="0.25">
      <c r="A144" t="s">
        <v>1007</v>
      </c>
      <c r="B144" s="1">
        <v>31307</v>
      </c>
      <c r="C144" t="s">
        <v>1008</v>
      </c>
      <c r="D144" t="s">
        <v>1009</v>
      </c>
      <c r="E144" t="s">
        <v>1010</v>
      </c>
      <c r="F144">
        <v>131</v>
      </c>
      <c r="G144">
        <v>1</v>
      </c>
      <c r="H144" t="s">
        <v>1011</v>
      </c>
      <c r="I144" t="s">
        <v>17</v>
      </c>
      <c r="J144" t="s">
        <v>36</v>
      </c>
      <c r="K144" t="s">
        <v>50</v>
      </c>
    </row>
    <row r="145" spans="1:11" x14ac:dyDescent="0.25">
      <c r="A145" t="s">
        <v>1012</v>
      </c>
      <c r="B145" s="1">
        <v>3572</v>
      </c>
      <c r="C145" t="s">
        <v>1013</v>
      </c>
      <c r="D145" t="s">
        <v>1014</v>
      </c>
      <c r="E145" t="s">
        <v>1015</v>
      </c>
      <c r="F145">
        <v>303</v>
      </c>
      <c r="G145">
        <v>1</v>
      </c>
      <c r="H145" t="s">
        <v>1016</v>
      </c>
      <c r="I145" t="s">
        <v>17</v>
      </c>
      <c r="J145" t="s">
        <v>36</v>
      </c>
      <c r="K145" t="s">
        <v>50</v>
      </c>
    </row>
    <row r="146" spans="1:11" x14ac:dyDescent="0.25">
      <c r="A146" t="s">
        <v>1017</v>
      </c>
      <c r="B146" s="1">
        <v>3585</v>
      </c>
      <c r="C146" t="s">
        <v>1018</v>
      </c>
      <c r="D146" t="s">
        <v>1019</v>
      </c>
      <c r="E146" t="s">
        <v>1020</v>
      </c>
      <c r="F146">
        <v>939</v>
      </c>
      <c r="G146">
        <v>2</v>
      </c>
      <c r="H146" t="s">
        <v>1021</v>
      </c>
      <c r="I146" t="s">
        <v>17</v>
      </c>
      <c r="J146" t="s">
        <v>36</v>
      </c>
      <c r="K146" t="s">
        <v>50</v>
      </c>
    </row>
    <row r="147" spans="1:11" x14ac:dyDescent="0.25">
      <c r="A147" t="s">
        <v>1022</v>
      </c>
      <c r="B147" s="1">
        <v>7995</v>
      </c>
      <c r="C147" t="s">
        <v>1023</v>
      </c>
      <c r="D147" t="s">
        <v>1024</v>
      </c>
      <c r="E147" t="s">
        <v>1025</v>
      </c>
      <c r="F147">
        <v>323</v>
      </c>
      <c r="G147">
        <v>3</v>
      </c>
      <c r="H147" t="s">
        <v>1026</v>
      </c>
      <c r="I147" t="s">
        <v>17</v>
      </c>
      <c r="J147" t="s">
        <v>36</v>
      </c>
      <c r="K147" t="s">
        <v>50</v>
      </c>
    </row>
    <row r="148" spans="1:11" x14ac:dyDescent="0.25">
      <c r="A148" t="s">
        <v>1027</v>
      </c>
      <c r="B148" s="1">
        <v>2453</v>
      </c>
      <c r="C148" t="s">
        <v>1028</v>
      </c>
      <c r="D148" t="s">
        <v>1029</v>
      </c>
      <c r="E148" t="s">
        <v>34</v>
      </c>
      <c r="F148" s="1">
        <v>1405</v>
      </c>
      <c r="G148">
        <v>3</v>
      </c>
      <c r="H148" t="s">
        <v>1030</v>
      </c>
      <c r="I148" t="s">
        <v>17</v>
      </c>
      <c r="J148" t="s">
        <v>36</v>
      </c>
      <c r="K148" t="s">
        <v>50</v>
      </c>
    </row>
    <row r="149" spans="1:11" x14ac:dyDescent="0.25">
      <c r="A149" t="s">
        <v>1031</v>
      </c>
      <c r="B149" s="1">
        <v>14520</v>
      </c>
      <c r="C149" t="s">
        <v>1032</v>
      </c>
      <c r="D149" t="s">
        <v>1033</v>
      </c>
      <c r="E149" t="s">
        <v>1034</v>
      </c>
      <c r="F149" s="1">
        <v>3228</v>
      </c>
      <c r="G149">
        <v>3</v>
      </c>
      <c r="H149" t="s">
        <v>1035</v>
      </c>
      <c r="I149" t="s">
        <v>17</v>
      </c>
      <c r="J149" t="s">
        <v>36</v>
      </c>
      <c r="K149" t="s">
        <v>50</v>
      </c>
    </row>
    <row r="150" spans="1:11" x14ac:dyDescent="0.25">
      <c r="A150" t="s">
        <v>1036</v>
      </c>
      <c r="B150" s="1">
        <v>2574</v>
      </c>
      <c r="C150" t="s">
        <v>1037</v>
      </c>
      <c r="D150" t="s">
        <v>1038</v>
      </c>
      <c r="E150" t="s">
        <v>1039</v>
      </c>
      <c r="F150" s="1">
        <v>4366</v>
      </c>
      <c r="G150">
        <v>3</v>
      </c>
      <c r="H150" t="s">
        <v>1040</v>
      </c>
      <c r="I150" t="s">
        <v>17</v>
      </c>
      <c r="J150" t="s">
        <v>36</v>
      </c>
      <c r="K150" t="s">
        <v>50</v>
      </c>
    </row>
    <row r="151" spans="1:11" x14ac:dyDescent="0.25">
      <c r="A151" t="s">
        <v>1041</v>
      </c>
      <c r="B151" s="1">
        <v>19304</v>
      </c>
      <c r="C151" t="s">
        <v>1042</v>
      </c>
      <c r="D151" t="s">
        <v>1043</v>
      </c>
      <c r="E151" t="s">
        <v>1044</v>
      </c>
      <c r="F151" s="1">
        <v>2237</v>
      </c>
      <c r="G151">
        <v>1</v>
      </c>
      <c r="H151" t="s">
        <v>1045</v>
      </c>
      <c r="I151" t="s">
        <v>17</v>
      </c>
      <c r="J151" t="s">
        <v>36</v>
      </c>
      <c r="K151" t="s">
        <v>50</v>
      </c>
    </row>
    <row r="152" spans="1:11" x14ac:dyDescent="0.25">
      <c r="A152" t="s">
        <v>1046</v>
      </c>
      <c r="B152">
        <v>800</v>
      </c>
      <c r="C152" t="s">
        <v>1047</v>
      </c>
      <c r="D152" t="s">
        <v>1048</v>
      </c>
      <c r="E152" t="s">
        <v>1049</v>
      </c>
      <c r="F152">
        <v>583</v>
      </c>
      <c r="G152">
        <v>1</v>
      </c>
      <c r="H152" t="s">
        <v>1050</v>
      </c>
      <c r="I152" t="s">
        <v>17</v>
      </c>
      <c r="J152" t="s">
        <v>36</v>
      </c>
      <c r="K152" t="s">
        <v>50</v>
      </c>
    </row>
    <row r="153" spans="1:11" x14ac:dyDescent="0.25">
      <c r="A153" t="s">
        <v>1051</v>
      </c>
      <c r="B153" s="1">
        <v>12051</v>
      </c>
      <c r="C153" t="s">
        <v>1052</v>
      </c>
      <c r="D153" t="s">
        <v>1053</v>
      </c>
      <c r="E153" t="s">
        <v>1054</v>
      </c>
      <c r="F153">
        <v>203</v>
      </c>
      <c r="G153">
        <v>2</v>
      </c>
      <c r="H153" t="s">
        <v>1055</v>
      </c>
      <c r="I153" t="s">
        <v>17</v>
      </c>
      <c r="J153" t="s">
        <v>36</v>
      </c>
      <c r="K153" t="s">
        <v>50</v>
      </c>
    </row>
    <row r="154" spans="1:11" x14ac:dyDescent="0.25">
      <c r="A154" t="s">
        <v>1056</v>
      </c>
      <c r="B154" s="1">
        <v>6629</v>
      </c>
      <c r="C154" t="s">
        <v>1057</v>
      </c>
      <c r="D154" t="s">
        <v>1058</v>
      </c>
      <c r="E154" t="s">
        <v>1059</v>
      </c>
      <c r="F154">
        <v>115</v>
      </c>
      <c r="G154">
        <v>4</v>
      </c>
      <c r="H154" t="s">
        <v>1060</v>
      </c>
      <c r="I154" t="s">
        <v>17</v>
      </c>
      <c r="J154" t="s">
        <v>36</v>
      </c>
      <c r="K154" t="s">
        <v>50</v>
      </c>
    </row>
    <row r="155" spans="1:11" x14ac:dyDescent="0.25">
      <c r="A155" t="s">
        <v>1061</v>
      </c>
      <c r="B155" s="1">
        <v>6283</v>
      </c>
      <c r="C155" t="s">
        <v>1062</v>
      </c>
      <c r="D155" t="s">
        <v>1063</v>
      </c>
      <c r="E155" t="s">
        <v>1064</v>
      </c>
      <c r="F155" s="1">
        <v>3851</v>
      </c>
      <c r="G155">
        <v>5</v>
      </c>
      <c r="H155" t="s">
        <v>1065</v>
      </c>
      <c r="I155" t="s">
        <v>17</v>
      </c>
      <c r="J155" t="s">
        <v>36</v>
      </c>
      <c r="K155" t="s">
        <v>50</v>
      </c>
    </row>
    <row r="156" spans="1:11" x14ac:dyDescent="0.25">
      <c r="A156" t="s">
        <v>1066</v>
      </c>
      <c r="B156" s="1">
        <v>5726</v>
      </c>
      <c r="C156" t="s">
        <v>1067</v>
      </c>
      <c r="D156" t="s">
        <v>1068</v>
      </c>
      <c r="E156" t="s">
        <v>1069</v>
      </c>
      <c r="F156" s="1">
        <v>2490</v>
      </c>
      <c r="G156">
        <v>2</v>
      </c>
      <c r="H156" t="s">
        <v>75</v>
      </c>
      <c r="I156" t="s">
        <v>17</v>
      </c>
      <c r="J156" t="s">
        <v>36</v>
      </c>
      <c r="K156" t="s">
        <v>50</v>
      </c>
    </row>
    <row r="157" spans="1:11" x14ac:dyDescent="0.25">
      <c r="A157" t="s">
        <v>1070</v>
      </c>
      <c r="B157" s="1">
        <v>2333</v>
      </c>
      <c r="C157" t="s">
        <v>1071</v>
      </c>
      <c r="D157" t="s">
        <v>1072</v>
      </c>
      <c r="E157" t="s">
        <v>1073</v>
      </c>
      <c r="F157" s="1">
        <v>1379</v>
      </c>
      <c r="G157">
        <v>2</v>
      </c>
      <c r="H157" t="s">
        <v>1074</v>
      </c>
      <c r="I157" t="s">
        <v>17</v>
      </c>
      <c r="J157" t="s">
        <v>36</v>
      </c>
      <c r="K157" t="s">
        <v>50</v>
      </c>
    </row>
    <row r="158" spans="1:11" x14ac:dyDescent="0.25">
      <c r="A158" t="s">
        <v>1075</v>
      </c>
      <c r="B158" s="1">
        <v>36103</v>
      </c>
      <c r="C158" t="s">
        <v>1076</v>
      </c>
      <c r="D158" t="s">
        <v>1077</v>
      </c>
      <c r="E158" t="s">
        <v>1078</v>
      </c>
      <c r="F158" s="1">
        <v>1680</v>
      </c>
      <c r="G158">
        <v>6</v>
      </c>
      <c r="H158" t="s">
        <v>1079</v>
      </c>
      <c r="I158" t="s">
        <v>17</v>
      </c>
      <c r="J158" t="s">
        <v>36</v>
      </c>
      <c r="K158" t="s">
        <v>50</v>
      </c>
    </row>
    <row r="159" spans="1:11" x14ac:dyDescent="0.25">
      <c r="A159" t="s">
        <v>1080</v>
      </c>
      <c r="B159" s="1">
        <v>9407</v>
      </c>
      <c r="C159" t="s">
        <v>1081</v>
      </c>
      <c r="D159" t="s">
        <v>1082</v>
      </c>
      <c r="G159">
        <v>3</v>
      </c>
      <c r="H159" t="s">
        <v>1083</v>
      </c>
      <c r="I159" t="s">
        <v>17</v>
      </c>
      <c r="J159" t="s">
        <v>36</v>
      </c>
      <c r="K159" t="s">
        <v>50</v>
      </c>
    </row>
    <row r="160" spans="1:11" x14ac:dyDescent="0.25">
      <c r="A160" t="s">
        <v>1084</v>
      </c>
      <c r="B160" s="1">
        <v>16977</v>
      </c>
      <c r="C160" t="s">
        <v>1085</v>
      </c>
      <c r="D160" t="s">
        <v>1086</v>
      </c>
      <c r="E160" t="s">
        <v>1087</v>
      </c>
      <c r="F160" s="1">
        <v>3886</v>
      </c>
      <c r="G160">
        <v>2</v>
      </c>
      <c r="H160" t="s">
        <v>1088</v>
      </c>
      <c r="I160" t="s">
        <v>17</v>
      </c>
      <c r="J160" t="s">
        <v>36</v>
      </c>
      <c r="K160" t="s">
        <v>50</v>
      </c>
    </row>
    <row r="161" spans="1:11" x14ac:dyDescent="0.25">
      <c r="A161" t="s">
        <v>1089</v>
      </c>
      <c r="B161" s="1">
        <v>30979</v>
      </c>
      <c r="C161" t="s">
        <v>1090</v>
      </c>
      <c r="D161" t="s">
        <v>1091</v>
      </c>
      <c r="E161" t="s">
        <v>1092</v>
      </c>
      <c r="F161" s="1">
        <v>1173</v>
      </c>
      <c r="G161">
        <v>3</v>
      </c>
      <c r="H161" t="s">
        <v>1093</v>
      </c>
      <c r="I161" t="s">
        <v>17</v>
      </c>
      <c r="J161" t="s">
        <v>36</v>
      </c>
      <c r="K161" t="s">
        <v>50</v>
      </c>
    </row>
    <row r="162" spans="1:11" x14ac:dyDescent="0.25">
      <c r="A162" t="s">
        <v>1094</v>
      </c>
      <c r="B162" s="1">
        <v>3363</v>
      </c>
      <c r="C162" t="s">
        <v>1095</v>
      </c>
      <c r="D162" t="s">
        <v>1096</v>
      </c>
      <c r="E162" t="s">
        <v>1097</v>
      </c>
      <c r="F162" s="1">
        <v>8241</v>
      </c>
      <c r="G162">
        <v>5</v>
      </c>
      <c r="H162" t="s">
        <v>1098</v>
      </c>
      <c r="I162" t="s">
        <v>91</v>
      </c>
      <c r="J162" t="s">
        <v>36</v>
      </c>
      <c r="K162" t="s">
        <v>50</v>
      </c>
    </row>
    <row r="163" spans="1:11" x14ac:dyDescent="0.25">
      <c r="A163" t="s">
        <v>1099</v>
      </c>
      <c r="B163" s="1">
        <v>10522</v>
      </c>
      <c r="C163" t="s">
        <v>1100</v>
      </c>
      <c r="D163" t="s">
        <v>1101</v>
      </c>
      <c r="E163" t="s">
        <v>1102</v>
      </c>
      <c r="F163">
        <v>450</v>
      </c>
      <c r="G163">
        <v>2</v>
      </c>
      <c r="H163" t="s">
        <v>1103</v>
      </c>
      <c r="I163" t="s">
        <v>17</v>
      </c>
      <c r="J163" t="s">
        <v>36</v>
      </c>
      <c r="K163" t="s">
        <v>50</v>
      </c>
    </row>
    <row r="164" spans="1:11" x14ac:dyDescent="0.25">
      <c r="A164" t="s">
        <v>1104</v>
      </c>
      <c r="B164" s="1">
        <v>13242</v>
      </c>
      <c r="C164" t="s">
        <v>1105</v>
      </c>
      <c r="D164" t="s">
        <v>1106</v>
      </c>
      <c r="E164" t="s">
        <v>1107</v>
      </c>
      <c r="F164" s="1">
        <v>1358</v>
      </c>
      <c r="G164">
        <v>1</v>
      </c>
      <c r="H164" t="s">
        <v>1108</v>
      </c>
      <c r="I164" t="s">
        <v>17</v>
      </c>
      <c r="J164" t="s">
        <v>36</v>
      </c>
      <c r="K164" t="s">
        <v>50</v>
      </c>
    </row>
    <row r="165" spans="1:11" x14ac:dyDescent="0.25">
      <c r="A165" t="s">
        <v>1109</v>
      </c>
      <c r="B165" s="1">
        <v>12964</v>
      </c>
      <c r="C165" t="s">
        <v>1110</v>
      </c>
      <c r="D165" t="s">
        <v>1111</v>
      </c>
      <c r="E165" t="s">
        <v>1112</v>
      </c>
      <c r="F165" s="1">
        <v>4558</v>
      </c>
      <c r="G165">
        <v>1</v>
      </c>
      <c r="H165" t="s">
        <v>1113</v>
      </c>
      <c r="I165" t="s">
        <v>17</v>
      </c>
      <c r="J165" t="s">
        <v>36</v>
      </c>
      <c r="K165" t="s">
        <v>50</v>
      </c>
    </row>
    <row r="166" spans="1:11" x14ac:dyDescent="0.25">
      <c r="A166" t="s">
        <v>1114</v>
      </c>
      <c r="B166" s="1">
        <v>23085</v>
      </c>
      <c r="C166" t="s">
        <v>1115</v>
      </c>
      <c r="D166" t="s">
        <v>1116</v>
      </c>
      <c r="E166" t="s">
        <v>1117</v>
      </c>
      <c r="F166">
        <v>613</v>
      </c>
      <c r="G166">
        <v>2</v>
      </c>
      <c r="H166" t="s">
        <v>1118</v>
      </c>
      <c r="I166" t="s">
        <v>17</v>
      </c>
      <c r="J166" t="s">
        <v>36</v>
      </c>
      <c r="K166" t="s">
        <v>50</v>
      </c>
    </row>
    <row r="167" spans="1:11" x14ac:dyDescent="0.25">
      <c r="A167" t="s">
        <v>1119</v>
      </c>
      <c r="B167">
        <v>887</v>
      </c>
      <c r="C167" t="s">
        <v>1120</v>
      </c>
      <c r="D167" t="s">
        <v>1121</v>
      </c>
      <c r="E167" t="s">
        <v>1122</v>
      </c>
      <c r="F167">
        <v>119</v>
      </c>
      <c r="G167">
        <v>3</v>
      </c>
      <c r="H167" t="s">
        <v>1123</v>
      </c>
      <c r="I167" t="s">
        <v>17</v>
      </c>
      <c r="J167" t="s">
        <v>36</v>
      </c>
      <c r="K167" t="s">
        <v>50</v>
      </c>
    </row>
    <row r="168" spans="1:11" x14ac:dyDescent="0.25">
      <c r="A168" t="s">
        <v>1124</v>
      </c>
      <c r="B168" s="1">
        <v>16846</v>
      </c>
      <c r="C168" t="s">
        <v>1125</v>
      </c>
      <c r="D168" t="s">
        <v>1126</v>
      </c>
      <c r="E168" t="s">
        <v>1127</v>
      </c>
      <c r="F168" s="1">
        <v>2317</v>
      </c>
      <c r="G168">
        <v>3</v>
      </c>
      <c r="H168" t="s">
        <v>1128</v>
      </c>
      <c r="I168" t="s">
        <v>17</v>
      </c>
      <c r="J168" t="s">
        <v>36</v>
      </c>
      <c r="K168" t="s">
        <v>50</v>
      </c>
    </row>
    <row r="169" spans="1:11" x14ac:dyDescent="0.25">
      <c r="A169" t="s">
        <v>1129</v>
      </c>
      <c r="B169" s="1">
        <v>3404</v>
      </c>
      <c r="C169" t="s">
        <v>1130</v>
      </c>
      <c r="D169" t="s">
        <v>1131</v>
      </c>
      <c r="E169" t="s">
        <v>1132</v>
      </c>
      <c r="F169">
        <v>137</v>
      </c>
      <c r="G169">
        <v>1</v>
      </c>
      <c r="H169" t="s">
        <v>1133</v>
      </c>
      <c r="I169" t="s">
        <v>17</v>
      </c>
      <c r="J169" t="s">
        <v>36</v>
      </c>
      <c r="K169" t="s">
        <v>50</v>
      </c>
    </row>
    <row r="170" spans="1:11" x14ac:dyDescent="0.25">
      <c r="A170" t="s">
        <v>1134</v>
      </c>
      <c r="B170" s="1">
        <v>1158</v>
      </c>
      <c r="C170" t="s">
        <v>1135</v>
      </c>
      <c r="D170" t="s">
        <v>1136</v>
      </c>
      <c r="E170" t="s">
        <v>1137</v>
      </c>
      <c r="F170">
        <v>492</v>
      </c>
      <c r="G170">
        <v>2</v>
      </c>
      <c r="H170" t="s">
        <v>1138</v>
      </c>
      <c r="I170" t="s">
        <v>17</v>
      </c>
      <c r="J170" t="s">
        <v>36</v>
      </c>
      <c r="K170" t="s">
        <v>50</v>
      </c>
    </row>
    <row r="171" spans="1:11" x14ac:dyDescent="0.25">
      <c r="A171" t="s">
        <v>1139</v>
      </c>
      <c r="B171" s="1">
        <v>39238</v>
      </c>
      <c r="C171" t="s">
        <v>1140</v>
      </c>
      <c r="D171" t="s">
        <v>1141</v>
      </c>
      <c r="E171" t="s">
        <v>1142</v>
      </c>
      <c r="F171" s="1">
        <v>6068</v>
      </c>
      <c r="G171">
        <v>1</v>
      </c>
      <c r="H171" t="s">
        <v>1143</v>
      </c>
      <c r="I171" t="s">
        <v>17</v>
      </c>
      <c r="J171" t="s">
        <v>36</v>
      </c>
      <c r="K171" t="s">
        <v>50</v>
      </c>
    </row>
    <row r="172" spans="1:11" x14ac:dyDescent="0.25">
      <c r="A172" t="s">
        <v>1144</v>
      </c>
      <c r="B172" s="1">
        <v>8202</v>
      </c>
      <c r="C172" t="s">
        <v>1145</v>
      </c>
      <c r="D172" t="s">
        <v>1146</v>
      </c>
      <c r="E172" t="s">
        <v>1147</v>
      </c>
      <c r="F172">
        <v>614</v>
      </c>
      <c r="G172">
        <v>4</v>
      </c>
      <c r="H172" t="s">
        <v>1148</v>
      </c>
      <c r="I172" t="s">
        <v>17</v>
      </c>
      <c r="J172" t="s">
        <v>36</v>
      </c>
      <c r="K172" t="s">
        <v>50</v>
      </c>
    </row>
    <row r="173" spans="1:11" x14ac:dyDescent="0.25">
      <c r="A173" t="s">
        <v>1149</v>
      </c>
      <c r="B173" s="1">
        <v>15562</v>
      </c>
      <c r="C173" t="s">
        <v>1150</v>
      </c>
      <c r="D173" t="s">
        <v>1151</v>
      </c>
      <c r="E173" t="s">
        <v>1152</v>
      </c>
      <c r="F173" s="1">
        <v>4746</v>
      </c>
      <c r="G173">
        <v>2</v>
      </c>
      <c r="H173" t="s">
        <v>1153</v>
      </c>
      <c r="I173" t="s">
        <v>17</v>
      </c>
      <c r="J173" t="s">
        <v>36</v>
      </c>
      <c r="K173" t="s">
        <v>50</v>
      </c>
    </row>
    <row r="174" spans="1:11" x14ac:dyDescent="0.25">
      <c r="A174" t="s">
        <v>1154</v>
      </c>
      <c r="B174" s="1">
        <v>6574</v>
      </c>
      <c r="C174" t="s">
        <v>1155</v>
      </c>
      <c r="D174" t="s">
        <v>1156</v>
      </c>
      <c r="E174" t="s">
        <v>1157</v>
      </c>
      <c r="F174">
        <v>75</v>
      </c>
      <c r="G174">
        <v>3</v>
      </c>
      <c r="H174" t="s">
        <v>986</v>
      </c>
      <c r="I174" t="s">
        <v>17</v>
      </c>
      <c r="J174" t="s">
        <v>36</v>
      </c>
      <c r="K174" t="s">
        <v>50</v>
      </c>
    </row>
    <row r="175" spans="1:11" x14ac:dyDescent="0.25">
      <c r="A175" t="s">
        <v>1158</v>
      </c>
      <c r="B175" s="1">
        <v>32278</v>
      </c>
      <c r="C175" t="s">
        <v>1159</v>
      </c>
      <c r="D175" t="s">
        <v>1160</v>
      </c>
      <c r="E175" t="s">
        <v>1161</v>
      </c>
      <c r="F175" s="1">
        <v>4551</v>
      </c>
      <c r="G175">
        <v>2</v>
      </c>
      <c r="H175" t="s">
        <v>1162</v>
      </c>
      <c r="I175" t="s">
        <v>17</v>
      </c>
      <c r="J175" t="s">
        <v>36</v>
      </c>
      <c r="K175" t="s">
        <v>50</v>
      </c>
    </row>
    <row r="176" spans="1:11" x14ac:dyDescent="0.25">
      <c r="A176" t="s">
        <v>1163</v>
      </c>
      <c r="B176" s="1">
        <v>9139</v>
      </c>
      <c r="C176" t="s">
        <v>1164</v>
      </c>
      <c r="D176" t="s">
        <v>1165</v>
      </c>
      <c r="E176" t="s">
        <v>1166</v>
      </c>
      <c r="F176">
        <v>451</v>
      </c>
      <c r="G176">
        <v>2</v>
      </c>
      <c r="H176" t="s">
        <v>1167</v>
      </c>
      <c r="I176" t="s">
        <v>17</v>
      </c>
      <c r="J176" t="s">
        <v>36</v>
      </c>
      <c r="K176" t="s">
        <v>50</v>
      </c>
    </row>
    <row r="177" spans="1:11" x14ac:dyDescent="0.25">
      <c r="A177" t="s">
        <v>1168</v>
      </c>
      <c r="B177" s="1">
        <v>79882</v>
      </c>
      <c r="C177" t="s">
        <v>1169</v>
      </c>
      <c r="D177" t="s">
        <v>1170</v>
      </c>
      <c r="E177" t="s">
        <v>1171</v>
      </c>
      <c r="F177" s="1">
        <v>1909</v>
      </c>
      <c r="G177">
        <v>5</v>
      </c>
      <c r="H177" t="s">
        <v>1172</v>
      </c>
      <c r="I177" t="s">
        <v>17</v>
      </c>
      <c r="J177" t="s">
        <v>36</v>
      </c>
      <c r="K177" t="s">
        <v>50</v>
      </c>
    </row>
    <row r="178" spans="1:11" x14ac:dyDescent="0.25">
      <c r="A178" t="s">
        <v>1173</v>
      </c>
      <c r="B178" s="1">
        <v>10319</v>
      </c>
      <c r="C178" t="s">
        <v>1174</v>
      </c>
      <c r="D178" t="s">
        <v>1175</v>
      </c>
      <c r="E178" t="s">
        <v>1176</v>
      </c>
      <c r="F178">
        <v>159</v>
      </c>
      <c r="G178">
        <v>1</v>
      </c>
      <c r="H178" t="s">
        <v>1177</v>
      </c>
      <c r="I178" t="s">
        <v>17</v>
      </c>
      <c r="J178" t="s">
        <v>36</v>
      </c>
      <c r="K178" t="s">
        <v>50</v>
      </c>
    </row>
    <row r="179" spans="1:11" x14ac:dyDescent="0.25">
      <c r="A179" t="s">
        <v>1178</v>
      </c>
      <c r="B179" s="1">
        <v>5357</v>
      </c>
      <c r="C179" t="s">
        <v>1179</v>
      </c>
      <c r="D179" t="s">
        <v>1180</v>
      </c>
      <c r="E179" t="s">
        <v>1181</v>
      </c>
      <c r="F179">
        <v>101</v>
      </c>
      <c r="G179">
        <v>2</v>
      </c>
      <c r="H179" t="s">
        <v>1182</v>
      </c>
      <c r="I179" t="s">
        <v>17</v>
      </c>
      <c r="J179" t="s">
        <v>36</v>
      </c>
      <c r="K179" t="s">
        <v>50</v>
      </c>
    </row>
    <row r="180" spans="1:11" x14ac:dyDescent="0.25">
      <c r="A180" t="s">
        <v>1183</v>
      </c>
      <c r="B180" s="1">
        <v>3028</v>
      </c>
      <c r="C180" t="s">
        <v>1184</v>
      </c>
      <c r="D180" t="s">
        <v>1185</v>
      </c>
      <c r="E180" t="s">
        <v>1186</v>
      </c>
      <c r="F180">
        <v>418</v>
      </c>
      <c r="G180">
        <v>3</v>
      </c>
      <c r="H180" t="s">
        <v>1187</v>
      </c>
      <c r="I180" t="s">
        <v>17</v>
      </c>
      <c r="J180" t="s">
        <v>36</v>
      </c>
      <c r="K180" t="s">
        <v>50</v>
      </c>
    </row>
    <row r="181" spans="1:11" x14ac:dyDescent="0.25">
      <c r="A181" t="s">
        <v>1188</v>
      </c>
      <c r="B181" s="1">
        <v>4931</v>
      </c>
      <c r="C181" t="s">
        <v>1189</v>
      </c>
      <c r="D181" t="s">
        <v>1190</v>
      </c>
      <c r="E181" t="s">
        <v>1191</v>
      </c>
      <c r="F181">
        <v>513</v>
      </c>
      <c r="G181">
        <v>3</v>
      </c>
      <c r="H181" t="s">
        <v>1192</v>
      </c>
      <c r="I181" t="s">
        <v>17</v>
      </c>
      <c r="J181" t="s">
        <v>36</v>
      </c>
      <c r="K181" t="s">
        <v>50</v>
      </c>
    </row>
    <row r="182" spans="1:11" x14ac:dyDescent="0.25">
      <c r="A182" t="s">
        <v>1193</v>
      </c>
      <c r="B182" s="1">
        <v>6671</v>
      </c>
      <c r="C182" t="s">
        <v>1194</v>
      </c>
      <c r="D182" t="s">
        <v>1195</v>
      </c>
      <c r="E182" t="s">
        <v>1196</v>
      </c>
      <c r="F182" s="1">
        <v>1365</v>
      </c>
      <c r="G182">
        <v>1</v>
      </c>
      <c r="H182" t="s">
        <v>1197</v>
      </c>
      <c r="I182" t="s">
        <v>17</v>
      </c>
      <c r="J182" t="s">
        <v>36</v>
      </c>
      <c r="K182" t="s">
        <v>50</v>
      </c>
    </row>
    <row r="183" spans="1:11" x14ac:dyDescent="0.25">
      <c r="A183" t="s">
        <v>1198</v>
      </c>
      <c r="B183" s="1">
        <v>2625</v>
      </c>
      <c r="C183" t="s">
        <v>1199</v>
      </c>
      <c r="D183" t="s">
        <v>1200</v>
      </c>
      <c r="E183" t="s">
        <v>1201</v>
      </c>
      <c r="F183" s="1">
        <v>3657</v>
      </c>
      <c r="G183">
        <v>1</v>
      </c>
      <c r="H183" t="s">
        <v>1202</v>
      </c>
      <c r="I183" t="s">
        <v>17</v>
      </c>
      <c r="J183" t="s">
        <v>36</v>
      </c>
      <c r="K183" t="s">
        <v>50</v>
      </c>
    </row>
    <row r="184" spans="1:11" x14ac:dyDescent="0.25">
      <c r="A184" t="s">
        <v>1203</v>
      </c>
      <c r="B184" s="1">
        <v>1669</v>
      </c>
      <c r="C184" t="s">
        <v>1204</v>
      </c>
      <c r="D184" t="s">
        <v>1205</v>
      </c>
      <c r="E184" t="s">
        <v>1206</v>
      </c>
      <c r="F184">
        <v>75</v>
      </c>
      <c r="G184">
        <v>2</v>
      </c>
      <c r="H184" t="s">
        <v>1207</v>
      </c>
      <c r="I184" t="s">
        <v>17</v>
      </c>
      <c r="J184" t="s">
        <v>36</v>
      </c>
      <c r="K184" t="s">
        <v>50</v>
      </c>
    </row>
    <row r="185" spans="1:11" x14ac:dyDescent="0.25">
      <c r="A185" t="s">
        <v>1208</v>
      </c>
      <c r="B185" s="1">
        <v>2904</v>
      </c>
      <c r="C185" t="s">
        <v>1209</v>
      </c>
      <c r="D185" t="s">
        <v>1210</v>
      </c>
      <c r="E185" t="s">
        <v>1211</v>
      </c>
      <c r="F185">
        <v>136</v>
      </c>
      <c r="G185">
        <v>4</v>
      </c>
      <c r="H185" t="s">
        <v>1212</v>
      </c>
      <c r="I185" t="s">
        <v>17</v>
      </c>
      <c r="J185" t="s">
        <v>36</v>
      </c>
      <c r="K185" t="s">
        <v>50</v>
      </c>
    </row>
    <row r="186" spans="1:11" x14ac:dyDescent="0.25">
      <c r="A186" t="s">
        <v>1213</v>
      </c>
      <c r="B186">
        <v>496</v>
      </c>
      <c r="C186" t="s">
        <v>1214</v>
      </c>
      <c r="D186" t="s">
        <v>1215</v>
      </c>
      <c r="E186" t="s">
        <v>1216</v>
      </c>
      <c r="F186">
        <v>587</v>
      </c>
      <c r="G186">
        <v>1</v>
      </c>
      <c r="H186" t="s">
        <v>1217</v>
      </c>
      <c r="I186" t="s">
        <v>17</v>
      </c>
      <c r="J186" t="s">
        <v>36</v>
      </c>
      <c r="K186" t="s">
        <v>50</v>
      </c>
    </row>
    <row r="187" spans="1:11" x14ac:dyDescent="0.25">
      <c r="A187" t="s">
        <v>1218</v>
      </c>
      <c r="B187" s="1">
        <v>14768</v>
      </c>
      <c r="C187" t="s">
        <v>1219</v>
      </c>
      <c r="D187" t="s">
        <v>1220</v>
      </c>
      <c r="E187" t="s">
        <v>1221</v>
      </c>
      <c r="F187" s="1">
        <v>7863</v>
      </c>
      <c r="G187">
        <v>1</v>
      </c>
      <c r="H187" t="s">
        <v>558</v>
      </c>
      <c r="I187" t="s">
        <v>17</v>
      </c>
      <c r="J187" t="s">
        <v>36</v>
      </c>
      <c r="K187" t="s">
        <v>50</v>
      </c>
    </row>
    <row r="188" spans="1:11" x14ac:dyDescent="0.25">
      <c r="A188" t="s">
        <v>1222</v>
      </c>
      <c r="B188" s="1">
        <v>16982</v>
      </c>
      <c r="C188" t="s">
        <v>1223</v>
      </c>
      <c r="D188" t="s">
        <v>1224</v>
      </c>
      <c r="E188" t="s">
        <v>1225</v>
      </c>
      <c r="F188" s="1">
        <v>8252</v>
      </c>
      <c r="G188">
        <v>8</v>
      </c>
      <c r="H188" t="s">
        <v>1226</v>
      </c>
      <c r="I188" t="s">
        <v>17</v>
      </c>
      <c r="J188" t="s">
        <v>36</v>
      </c>
      <c r="K188" t="s">
        <v>50</v>
      </c>
    </row>
    <row r="189" spans="1:11" x14ac:dyDescent="0.25">
      <c r="A189" t="s">
        <v>1227</v>
      </c>
      <c r="B189" s="1">
        <v>3589</v>
      </c>
      <c r="C189" t="s">
        <v>1228</v>
      </c>
      <c r="D189" t="s">
        <v>1229</v>
      </c>
      <c r="E189" t="s">
        <v>1230</v>
      </c>
      <c r="F189">
        <v>243</v>
      </c>
      <c r="G189">
        <v>4</v>
      </c>
      <c r="H189" t="s">
        <v>1231</v>
      </c>
      <c r="I189" t="s">
        <v>17</v>
      </c>
      <c r="J189" t="s">
        <v>36</v>
      </c>
      <c r="K189" t="s">
        <v>50</v>
      </c>
    </row>
    <row r="190" spans="1:11" x14ac:dyDescent="0.25">
      <c r="A190" t="s">
        <v>1232</v>
      </c>
      <c r="B190" s="1">
        <v>244953</v>
      </c>
      <c r="C190" t="s">
        <v>1233</v>
      </c>
      <c r="D190" t="s">
        <v>1234</v>
      </c>
      <c r="E190" t="s">
        <v>1235</v>
      </c>
      <c r="F190" s="1">
        <v>2089</v>
      </c>
      <c r="G190">
        <v>5</v>
      </c>
      <c r="H190" t="s">
        <v>411</v>
      </c>
      <c r="I190" t="s">
        <v>17</v>
      </c>
      <c r="J190" t="s">
        <v>36</v>
      </c>
      <c r="K190" t="s">
        <v>50</v>
      </c>
    </row>
    <row r="191" spans="1:11" x14ac:dyDescent="0.25">
      <c r="A191" t="s">
        <v>1236</v>
      </c>
      <c r="B191" s="1">
        <v>9464</v>
      </c>
      <c r="C191" t="s">
        <v>1237</v>
      </c>
      <c r="D191" t="s">
        <v>1238</v>
      </c>
      <c r="E191" t="s">
        <v>1239</v>
      </c>
      <c r="F191" s="1">
        <v>1902</v>
      </c>
      <c r="G191">
        <v>3</v>
      </c>
      <c r="H191" t="s">
        <v>1240</v>
      </c>
      <c r="I191" t="s">
        <v>17</v>
      </c>
      <c r="J191" t="s">
        <v>36</v>
      </c>
      <c r="K191" t="s">
        <v>50</v>
      </c>
    </row>
    <row r="192" spans="1:11" x14ac:dyDescent="0.25">
      <c r="A192" t="s">
        <v>1241</v>
      </c>
      <c r="B192" s="1">
        <v>3444</v>
      </c>
      <c r="C192" t="s">
        <v>1242</v>
      </c>
      <c r="D192" t="s">
        <v>1243</v>
      </c>
      <c r="E192" t="s">
        <v>1244</v>
      </c>
      <c r="F192">
        <v>415</v>
      </c>
      <c r="G192">
        <v>3</v>
      </c>
      <c r="H192" t="s">
        <v>1245</v>
      </c>
      <c r="I192" t="s">
        <v>91</v>
      </c>
      <c r="J192" t="s">
        <v>36</v>
      </c>
      <c r="K192" t="s">
        <v>50</v>
      </c>
    </row>
    <row r="193" spans="1:11" x14ac:dyDescent="0.25">
      <c r="A193" t="s">
        <v>1246</v>
      </c>
      <c r="B193" s="1">
        <v>5047</v>
      </c>
      <c r="C193" t="s">
        <v>1247</v>
      </c>
      <c r="D193" t="s">
        <v>1248</v>
      </c>
      <c r="G193">
        <v>4</v>
      </c>
      <c r="H193" t="s">
        <v>1249</v>
      </c>
      <c r="I193" t="s">
        <v>17</v>
      </c>
      <c r="J193" t="s">
        <v>36</v>
      </c>
      <c r="K193" t="s">
        <v>50</v>
      </c>
    </row>
    <row r="194" spans="1:11" x14ac:dyDescent="0.25">
      <c r="A194" t="s">
        <v>1250</v>
      </c>
      <c r="B194" s="1">
        <v>3280</v>
      </c>
      <c r="C194" t="s">
        <v>1251</v>
      </c>
      <c r="D194" t="s">
        <v>1252</v>
      </c>
      <c r="E194" t="s">
        <v>1253</v>
      </c>
      <c r="F194" s="1">
        <v>1226</v>
      </c>
      <c r="G194">
        <v>6</v>
      </c>
      <c r="H194" t="s">
        <v>1254</v>
      </c>
      <c r="I194" t="s">
        <v>17</v>
      </c>
      <c r="J194" t="s">
        <v>36</v>
      </c>
      <c r="K194" t="s">
        <v>50</v>
      </c>
    </row>
    <row r="195" spans="1:11" x14ac:dyDescent="0.25">
      <c r="A195" t="s">
        <v>1255</v>
      </c>
      <c r="B195">
        <v>874</v>
      </c>
      <c r="C195" t="s">
        <v>1256</v>
      </c>
      <c r="D195" t="s">
        <v>1257</v>
      </c>
      <c r="E195" t="s">
        <v>1258</v>
      </c>
      <c r="F195" s="1">
        <v>1026</v>
      </c>
      <c r="G195">
        <v>2</v>
      </c>
      <c r="H195" t="s">
        <v>1259</v>
      </c>
      <c r="I195" t="s">
        <v>17</v>
      </c>
      <c r="J195" t="s">
        <v>36</v>
      </c>
      <c r="K195" t="s">
        <v>37</v>
      </c>
    </row>
    <row r="196" spans="1:11" x14ac:dyDescent="0.25">
      <c r="A196" t="s">
        <v>1260</v>
      </c>
      <c r="B196" s="1">
        <v>6095</v>
      </c>
      <c r="C196" t="s">
        <v>1261</v>
      </c>
      <c r="D196" t="s">
        <v>1262</v>
      </c>
      <c r="E196" t="s">
        <v>1263</v>
      </c>
      <c r="F196">
        <v>73</v>
      </c>
      <c r="G196">
        <v>1</v>
      </c>
      <c r="H196" t="s">
        <v>1264</v>
      </c>
      <c r="I196" t="s">
        <v>17</v>
      </c>
      <c r="J196" t="s">
        <v>36</v>
      </c>
      <c r="K196" t="s">
        <v>37</v>
      </c>
    </row>
    <row r="197" spans="1:11" x14ac:dyDescent="0.25">
      <c r="A197" t="s">
        <v>1265</v>
      </c>
      <c r="B197" s="1">
        <v>2575</v>
      </c>
      <c r="C197" t="s">
        <v>1266</v>
      </c>
      <c r="D197" t="s">
        <v>1267</v>
      </c>
      <c r="E197" t="s">
        <v>1268</v>
      </c>
      <c r="F197">
        <v>619</v>
      </c>
      <c r="G197">
        <v>1</v>
      </c>
      <c r="H197" t="s">
        <v>1269</v>
      </c>
      <c r="I197" t="s">
        <v>17</v>
      </c>
      <c r="J197" t="s">
        <v>36</v>
      </c>
      <c r="K197" t="s">
        <v>37</v>
      </c>
    </row>
    <row r="198" spans="1:11" x14ac:dyDescent="0.25">
      <c r="A198" t="s">
        <v>1270</v>
      </c>
      <c r="B198" s="1">
        <v>7715</v>
      </c>
      <c r="C198" t="s">
        <v>1271</v>
      </c>
      <c r="D198" t="s">
        <v>1272</v>
      </c>
      <c r="E198" t="s">
        <v>1273</v>
      </c>
      <c r="F198">
        <v>783</v>
      </c>
      <c r="G198">
        <v>2</v>
      </c>
      <c r="H198" t="s">
        <v>1274</v>
      </c>
      <c r="I198" t="s">
        <v>17</v>
      </c>
      <c r="J198" t="s">
        <v>36</v>
      </c>
      <c r="K198" t="s">
        <v>37</v>
      </c>
    </row>
    <row r="199" spans="1:11" x14ac:dyDescent="0.25">
      <c r="A199" t="s">
        <v>1275</v>
      </c>
      <c r="B199" s="1">
        <v>6894</v>
      </c>
      <c r="C199" t="s">
        <v>1276</v>
      </c>
      <c r="D199" t="s">
        <v>1277</v>
      </c>
      <c r="E199" t="s">
        <v>1278</v>
      </c>
      <c r="F199">
        <v>193</v>
      </c>
      <c r="G199">
        <v>2</v>
      </c>
      <c r="H199" t="s">
        <v>1279</v>
      </c>
      <c r="I199" t="s">
        <v>17</v>
      </c>
      <c r="J199" t="s">
        <v>36</v>
      </c>
      <c r="K199" t="s">
        <v>37</v>
      </c>
    </row>
    <row r="200" spans="1:11" x14ac:dyDescent="0.25">
      <c r="A200" t="s">
        <v>1280</v>
      </c>
      <c r="B200">
        <v>209</v>
      </c>
      <c r="C200" t="s">
        <v>1281</v>
      </c>
      <c r="D200" t="s">
        <v>1282</v>
      </c>
      <c r="E200" t="s">
        <v>1283</v>
      </c>
      <c r="F200">
        <v>401</v>
      </c>
      <c r="G200">
        <v>0</v>
      </c>
      <c r="H200" t="s">
        <v>1284</v>
      </c>
      <c r="I200" t="s">
        <v>17</v>
      </c>
      <c r="J200" t="s">
        <v>36</v>
      </c>
      <c r="K200" t="s">
        <v>37</v>
      </c>
    </row>
    <row r="201" spans="1:11" x14ac:dyDescent="0.25">
      <c r="A201" t="s">
        <v>1285</v>
      </c>
      <c r="B201" s="1">
        <v>44753</v>
      </c>
      <c r="C201" t="s">
        <v>1286</v>
      </c>
      <c r="D201" t="s">
        <v>1287</v>
      </c>
      <c r="E201" t="s">
        <v>1288</v>
      </c>
      <c r="F201">
        <v>235</v>
      </c>
      <c r="G201">
        <v>3</v>
      </c>
      <c r="H201" t="s">
        <v>179</v>
      </c>
      <c r="I201" t="s">
        <v>17</v>
      </c>
      <c r="J201" t="s">
        <v>36</v>
      </c>
      <c r="K201" t="s">
        <v>37</v>
      </c>
    </row>
    <row r="202" spans="1:11" x14ac:dyDescent="0.25">
      <c r="A202" t="s">
        <v>1289</v>
      </c>
      <c r="B202" s="1">
        <v>5349</v>
      </c>
      <c r="C202" t="s">
        <v>1290</v>
      </c>
      <c r="D202" t="s">
        <v>1291</v>
      </c>
      <c r="E202" t="s">
        <v>1292</v>
      </c>
      <c r="F202">
        <v>93</v>
      </c>
      <c r="G202">
        <v>1</v>
      </c>
      <c r="H202" t="s">
        <v>1293</v>
      </c>
      <c r="I202" t="s">
        <v>17</v>
      </c>
      <c r="J202" t="s">
        <v>36</v>
      </c>
      <c r="K202" t="s">
        <v>37</v>
      </c>
    </row>
    <row r="203" spans="1:11" x14ac:dyDescent="0.25">
      <c r="A203" t="s">
        <v>1294</v>
      </c>
      <c r="B203" s="1">
        <v>8498</v>
      </c>
      <c r="C203" t="s">
        <v>1295</v>
      </c>
      <c r="D203" t="s">
        <v>1296</v>
      </c>
      <c r="E203" t="s">
        <v>1297</v>
      </c>
      <c r="F203">
        <v>514</v>
      </c>
      <c r="G203">
        <v>2</v>
      </c>
      <c r="H203" t="s">
        <v>1298</v>
      </c>
      <c r="I203" t="s">
        <v>17</v>
      </c>
      <c r="J203" t="s">
        <v>36</v>
      </c>
      <c r="K203" t="s">
        <v>37</v>
      </c>
    </row>
    <row r="204" spans="1:11" x14ac:dyDescent="0.25">
      <c r="A204" t="s">
        <v>1299</v>
      </c>
      <c r="B204" s="1">
        <v>12492</v>
      </c>
      <c r="C204" t="s">
        <v>1300</v>
      </c>
      <c r="D204" t="s">
        <v>1301</v>
      </c>
      <c r="E204" t="s">
        <v>1302</v>
      </c>
      <c r="F204" s="1">
        <v>7644</v>
      </c>
      <c r="G204">
        <v>2</v>
      </c>
      <c r="H204" t="s">
        <v>24</v>
      </c>
      <c r="I204" t="s">
        <v>17</v>
      </c>
      <c r="J204" t="s">
        <v>36</v>
      </c>
      <c r="K204" t="s">
        <v>37</v>
      </c>
    </row>
    <row r="205" spans="1:11" x14ac:dyDescent="0.25">
      <c r="A205" t="s">
        <v>1303</v>
      </c>
      <c r="B205" s="1">
        <v>25100</v>
      </c>
      <c r="C205" t="s">
        <v>1304</v>
      </c>
      <c r="D205" t="s">
        <v>1305</v>
      </c>
      <c r="E205" t="s">
        <v>1306</v>
      </c>
      <c r="F205">
        <v>411</v>
      </c>
      <c r="G205">
        <v>1</v>
      </c>
      <c r="H205" t="s">
        <v>1307</v>
      </c>
      <c r="I205" t="s">
        <v>17</v>
      </c>
      <c r="J205" t="s">
        <v>36</v>
      </c>
      <c r="K205" t="s">
        <v>37</v>
      </c>
    </row>
    <row r="206" spans="1:11" x14ac:dyDescent="0.25">
      <c r="A206" t="s">
        <v>1308</v>
      </c>
      <c r="B206" s="1">
        <v>2679</v>
      </c>
      <c r="C206" t="s">
        <v>1309</v>
      </c>
      <c r="D206" t="s">
        <v>1310</v>
      </c>
      <c r="E206" t="s">
        <v>1311</v>
      </c>
      <c r="F206">
        <v>307</v>
      </c>
      <c r="G206">
        <v>7</v>
      </c>
      <c r="H206" t="s">
        <v>1312</v>
      </c>
      <c r="I206" t="s">
        <v>17</v>
      </c>
      <c r="J206" t="s">
        <v>36</v>
      </c>
      <c r="K206" t="s">
        <v>37</v>
      </c>
    </row>
    <row r="207" spans="1:11" x14ac:dyDescent="0.25">
      <c r="A207" t="s">
        <v>1313</v>
      </c>
      <c r="B207" s="1">
        <v>32165</v>
      </c>
      <c r="C207" t="s">
        <v>1314</v>
      </c>
      <c r="D207" t="s">
        <v>1315</v>
      </c>
      <c r="E207" t="s">
        <v>1316</v>
      </c>
      <c r="F207">
        <v>121</v>
      </c>
      <c r="G207">
        <v>3</v>
      </c>
      <c r="H207" t="s">
        <v>1317</v>
      </c>
      <c r="I207" t="s">
        <v>17</v>
      </c>
      <c r="J207" t="s">
        <v>36</v>
      </c>
      <c r="K207" t="s">
        <v>37</v>
      </c>
    </row>
    <row r="208" spans="1:11" x14ac:dyDescent="0.25">
      <c r="A208" t="s">
        <v>1318</v>
      </c>
      <c r="B208">
        <v>550</v>
      </c>
      <c r="C208" t="s">
        <v>1319</v>
      </c>
      <c r="D208" t="s">
        <v>1320</v>
      </c>
      <c r="E208" t="s">
        <v>1321</v>
      </c>
      <c r="F208" s="1">
        <v>3473</v>
      </c>
      <c r="G208">
        <v>2</v>
      </c>
      <c r="H208" t="s">
        <v>1322</v>
      </c>
      <c r="I208" t="s">
        <v>17</v>
      </c>
      <c r="J208" t="s">
        <v>36</v>
      </c>
      <c r="K208" t="s">
        <v>37</v>
      </c>
    </row>
    <row r="209" spans="1:11" x14ac:dyDescent="0.25">
      <c r="A209" t="s">
        <v>1323</v>
      </c>
      <c r="B209" s="1">
        <v>5782</v>
      </c>
      <c r="C209" t="s">
        <v>1324</v>
      </c>
      <c r="D209" t="s">
        <v>1325</v>
      </c>
      <c r="G209">
        <v>2</v>
      </c>
      <c r="H209" t="s">
        <v>1326</v>
      </c>
      <c r="I209" t="s">
        <v>17</v>
      </c>
      <c r="J209" t="s">
        <v>36</v>
      </c>
      <c r="K209" t="s">
        <v>37</v>
      </c>
    </row>
    <row r="210" spans="1:11" x14ac:dyDescent="0.25">
      <c r="A210" t="s">
        <v>1327</v>
      </c>
      <c r="B210" s="1">
        <v>19582</v>
      </c>
      <c r="C210" t="s">
        <v>1328</v>
      </c>
      <c r="D210" t="s">
        <v>1329</v>
      </c>
      <c r="E210" t="s">
        <v>1330</v>
      </c>
      <c r="F210" s="1">
        <v>9236</v>
      </c>
      <c r="G210">
        <v>3</v>
      </c>
      <c r="H210" t="s">
        <v>1331</v>
      </c>
      <c r="I210" t="s">
        <v>17</v>
      </c>
      <c r="J210" t="s">
        <v>36</v>
      </c>
      <c r="K210" t="s">
        <v>37</v>
      </c>
    </row>
    <row r="211" spans="1:11" x14ac:dyDescent="0.25">
      <c r="A211" t="s">
        <v>1332</v>
      </c>
      <c r="B211" s="1">
        <v>2146</v>
      </c>
      <c r="C211" t="s">
        <v>1333</v>
      </c>
      <c r="D211" t="s">
        <v>1334</v>
      </c>
      <c r="E211" t="s">
        <v>1335</v>
      </c>
      <c r="F211">
        <v>469</v>
      </c>
      <c r="G211">
        <v>1</v>
      </c>
      <c r="H211" t="s">
        <v>1336</v>
      </c>
      <c r="I211" t="s">
        <v>17</v>
      </c>
      <c r="J211" t="s">
        <v>36</v>
      </c>
      <c r="K211" t="s">
        <v>37</v>
      </c>
    </row>
    <row r="212" spans="1:11" x14ac:dyDescent="0.25">
      <c r="A212" t="s">
        <v>1337</v>
      </c>
      <c r="B212" s="1">
        <v>3903</v>
      </c>
      <c r="C212" t="s">
        <v>1338</v>
      </c>
      <c r="D212" t="s">
        <v>1339</v>
      </c>
      <c r="E212" t="s">
        <v>1340</v>
      </c>
      <c r="F212" s="1">
        <v>8220</v>
      </c>
      <c r="G212">
        <v>1</v>
      </c>
      <c r="H212" t="s">
        <v>1341</v>
      </c>
      <c r="I212" t="s">
        <v>17</v>
      </c>
      <c r="J212" t="s">
        <v>36</v>
      </c>
      <c r="K212" t="s">
        <v>37</v>
      </c>
    </row>
    <row r="213" spans="1:11" x14ac:dyDescent="0.25">
      <c r="A213" t="s">
        <v>1342</v>
      </c>
      <c r="B213" s="1">
        <v>1281</v>
      </c>
      <c r="C213" t="s">
        <v>1343</v>
      </c>
      <c r="D213" t="s">
        <v>1344</v>
      </c>
      <c r="E213" t="s">
        <v>1345</v>
      </c>
      <c r="F213">
        <v>171</v>
      </c>
      <c r="G213">
        <v>1</v>
      </c>
      <c r="H213" t="s">
        <v>1346</v>
      </c>
      <c r="I213" t="s">
        <v>17</v>
      </c>
      <c r="J213" t="s">
        <v>36</v>
      </c>
      <c r="K213" t="s">
        <v>37</v>
      </c>
    </row>
    <row r="214" spans="1:11" x14ac:dyDescent="0.25">
      <c r="A214" t="s">
        <v>1347</v>
      </c>
      <c r="B214" s="1">
        <v>4153</v>
      </c>
      <c r="C214" t="s">
        <v>1348</v>
      </c>
      <c r="D214" t="s">
        <v>1349</v>
      </c>
      <c r="E214" t="s">
        <v>1350</v>
      </c>
      <c r="F214">
        <v>140</v>
      </c>
      <c r="G214">
        <v>1</v>
      </c>
      <c r="H214" t="s">
        <v>1351</v>
      </c>
      <c r="I214" t="s">
        <v>17</v>
      </c>
      <c r="J214" t="s">
        <v>36</v>
      </c>
      <c r="K214" t="s">
        <v>37</v>
      </c>
    </row>
    <row r="215" spans="1:11" x14ac:dyDescent="0.25">
      <c r="A215" t="s">
        <v>1352</v>
      </c>
      <c r="C215" t="s">
        <v>1353</v>
      </c>
      <c r="D215" t="s">
        <v>1354</v>
      </c>
      <c r="E215" t="s">
        <v>1355</v>
      </c>
      <c r="G215">
        <v>4</v>
      </c>
      <c r="H215" t="s">
        <v>1356</v>
      </c>
      <c r="I215" t="s">
        <v>17</v>
      </c>
      <c r="J215" t="s">
        <v>36</v>
      </c>
      <c r="K215" t="s">
        <v>37</v>
      </c>
    </row>
    <row r="216" spans="1:11" x14ac:dyDescent="0.25">
      <c r="A216" t="s">
        <v>1357</v>
      </c>
      <c r="B216" s="1">
        <v>32210</v>
      </c>
      <c r="C216" t="s">
        <v>1358</v>
      </c>
      <c r="D216" t="s">
        <v>1359</v>
      </c>
      <c r="E216" t="s">
        <v>1360</v>
      </c>
      <c r="F216">
        <v>75</v>
      </c>
      <c r="G216">
        <v>1</v>
      </c>
      <c r="H216" t="s">
        <v>1361</v>
      </c>
      <c r="I216" t="s">
        <v>17</v>
      </c>
      <c r="J216" t="s">
        <v>36</v>
      </c>
      <c r="K216" t="s">
        <v>37</v>
      </c>
    </row>
    <row r="217" spans="1:11" x14ac:dyDescent="0.25">
      <c r="A217" t="s">
        <v>1362</v>
      </c>
      <c r="B217" s="1">
        <v>7331</v>
      </c>
      <c r="C217" t="s">
        <v>1363</v>
      </c>
      <c r="D217" t="s">
        <v>1364</v>
      </c>
      <c r="E217" t="s">
        <v>1365</v>
      </c>
      <c r="F217">
        <v>365</v>
      </c>
      <c r="G217">
        <v>1</v>
      </c>
      <c r="H217" t="s">
        <v>1366</v>
      </c>
      <c r="I217" t="s">
        <v>17</v>
      </c>
      <c r="J217" t="s">
        <v>36</v>
      </c>
      <c r="K217" t="s">
        <v>37</v>
      </c>
    </row>
    <row r="218" spans="1:11" x14ac:dyDescent="0.25">
      <c r="A218" t="s">
        <v>1367</v>
      </c>
      <c r="B218">
        <v>881</v>
      </c>
      <c r="C218" t="s">
        <v>1368</v>
      </c>
      <c r="D218" t="s">
        <v>1369</v>
      </c>
      <c r="E218" t="s">
        <v>1370</v>
      </c>
      <c r="F218" s="1">
        <v>3323</v>
      </c>
      <c r="G218">
        <v>2</v>
      </c>
      <c r="H218" t="s">
        <v>1371</v>
      </c>
      <c r="I218" t="s">
        <v>17</v>
      </c>
      <c r="J218" t="s">
        <v>36</v>
      </c>
      <c r="K218" t="s">
        <v>37</v>
      </c>
    </row>
    <row r="219" spans="1:11" x14ac:dyDescent="0.25">
      <c r="A219" t="s">
        <v>1372</v>
      </c>
      <c r="B219" s="1">
        <v>1293</v>
      </c>
      <c r="C219" t="s">
        <v>1373</v>
      </c>
      <c r="D219" t="s">
        <v>1374</v>
      </c>
      <c r="E219" t="s">
        <v>1375</v>
      </c>
      <c r="F219" s="1">
        <v>5625</v>
      </c>
      <c r="G219">
        <v>1</v>
      </c>
      <c r="H219" t="s">
        <v>1376</v>
      </c>
      <c r="I219" t="s">
        <v>17</v>
      </c>
      <c r="J219" t="s">
        <v>36</v>
      </c>
      <c r="K219" t="s">
        <v>37</v>
      </c>
    </row>
    <row r="220" spans="1:11" x14ac:dyDescent="0.25">
      <c r="A220" t="s">
        <v>1377</v>
      </c>
      <c r="B220" s="1">
        <v>1699</v>
      </c>
      <c r="C220" t="s">
        <v>1378</v>
      </c>
      <c r="D220" t="s">
        <v>1379</v>
      </c>
      <c r="E220" t="s">
        <v>1380</v>
      </c>
      <c r="F220" s="1">
        <v>4955</v>
      </c>
      <c r="G220">
        <v>3</v>
      </c>
      <c r="H220" t="s">
        <v>1381</v>
      </c>
      <c r="I220" t="s">
        <v>17</v>
      </c>
      <c r="J220" t="s">
        <v>36</v>
      </c>
      <c r="K220" t="s">
        <v>37</v>
      </c>
    </row>
    <row r="221" spans="1:11" x14ac:dyDescent="0.25">
      <c r="A221" t="s">
        <v>1382</v>
      </c>
      <c r="B221" s="1">
        <v>4318</v>
      </c>
      <c r="C221" t="s">
        <v>1383</v>
      </c>
      <c r="D221" t="s">
        <v>1384</v>
      </c>
      <c r="E221" t="s">
        <v>1385</v>
      </c>
      <c r="F221" s="1">
        <v>2777</v>
      </c>
      <c r="G221">
        <v>6</v>
      </c>
      <c r="H221" t="s">
        <v>1386</v>
      </c>
      <c r="I221" t="s">
        <v>17</v>
      </c>
      <c r="J221" t="s">
        <v>36</v>
      </c>
      <c r="K221" t="s">
        <v>37</v>
      </c>
    </row>
    <row r="222" spans="1:11" x14ac:dyDescent="0.25">
      <c r="A222" t="s">
        <v>1387</v>
      </c>
      <c r="B222" s="1">
        <v>10574</v>
      </c>
      <c r="C222" t="s">
        <v>1388</v>
      </c>
      <c r="D222" t="s">
        <v>1389</v>
      </c>
      <c r="G222">
        <v>5</v>
      </c>
      <c r="H222" t="s">
        <v>75</v>
      </c>
      <c r="I222" t="s">
        <v>17</v>
      </c>
      <c r="J222" t="s">
        <v>36</v>
      </c>
      <c r="K222" t="s">
        <v>37</v>
      </c>
    </row>
    <row r="223" spans="1:11" x14ac:dyDescent="0.25">
      <c r="A223" t="s">
        <v>1390</v>
      </c>
      <c r="B223" s="1">
        <v>4628</v>
      </c>
      <c r="C223" t="s">
        <v>1391</v>
      </c>
      <c r="D223" t="s">
        <v>1392</v>
      </c>
      <c r="E223" t="s">
        <v>1393</v>
      </c>
      <c r="F223">
        <v>377</v>
      </c>
      <c r="G223">
        <v>1</v>
      </c>
      <c r="H223" t="s">
        <v>1394</v>
      </c>
      <c r="I223" t="s">
        <v>17</v>
      </c>
      <c r="J223" t="s">
        <v>36</v>
      </c>
      <c r="K223" t="s">
        <v>37</v>
      </c>
    </row>
    <row r="224" spans="1:11" x14ac:dyDescent="0.25">
      <c r="A224" t="s">
        <v>1395</v>
      </c>
      <c r="B224" s="1">
        <v>3812</v>
      </c>
      <c r="C224" t="s">
        <v>1396</v>
      </c>
      <c r="D224" t="s">
        <v>1397</v>
      </c>
      <c r="E224" t="s">
        <v>1398</v>
      </c>
      <c r="F224">
        <v>981</v>
      </c>
      <c r="G224">
        <v>1</v>
      </c>
      <c r="H224" t="s">
        <v>1399</v>
      </c>
      <c r="I224" t="s">
        <v>17</v>
      </c>
      <c r="J224" t="s">
        <v>36</v>
      </c>
      <c r="K224" t="s">
        <v>37</v>
      </c>
    </row>
    <row r="225" spans="1:11" x14ac:dyDescent="0.25">
      <c r="A225" t="s">
        <v>1400</v>
      </c>
      <c r="B225" s="1">
        <v>9394</v>
      </c>
      <c r="C225" t="s">
        <v>1401</v>
      </c>
      <c r="D225" t="s">
        <v>1402</v>
      </c>
      <c r="E225" t="s">
        <v>1403</v>
      </c>
      <c r="F225" s="1">
        <v>1171</v>
      </c>
      <c r="G225">
        <v>2</v>
      </c>
      <c r="H225" t="s">
        <v>1404</v>
      </c>
      <c r="I225" t="s">
        <v>17</v>
      </c>
      <c r="J225" t="s">
        <v>36</v>
      </c>
      <c r="K225" t="s">
        <v>37</v>
      </c>
    </row>
    <row r="226" spans="1:11" x14ac:dyDescent="0.25">
      <c r="A226" t="s">
        <v>1405</v>
      </c>
      <c r="B226" s="1">
        <v>70988</v>
      </c>
      <c r="C226" t="s">
        <v>1406</v>
      </c>
      <c r="D226" t="s">
        <v>1407</v>
      </c>
      <c r="E226" t="s">
        <v>1408</v>
      </c>
      <c r="F226">
        <v>245</v>
      </c>
      <c r="G226">
        <v>6</v>
      </c>
      <c r="H226" t="s">
        <v>1409</v>
      </c>
      <c r="I226" t="s">
        <v>17</v>
      </c>
      <c r="J226" t="s">
        <v>36</v>
      </c>
      <c r="K226" t="s">
        <v>37</v>
      </c>
    </row>
    <row r="227" spans="1:11" x14ac:dyDescent="0.25">
      <c r="A227" t="s">
        <v>1410</v>
      </c>
      <c r="B227" s="1">
        <v>1241</v>
      </c>
      <c r="C227" t="s">
        <v>1411</v>
      </c>
      <c r="D227" t="s">
        <v>1412</v>
      </c>
      <c r="E227" t="s">
        <v>1413</v>
      </c>
      <c r="F227">
        <v>139</v>
      </c>
      <c r="G227">
        <v>1</v>
      </c>
      <c r="H227" t="s">
        <v>1414</v>
      </c>
      <c r="I227" t="s">
        <v>17</v>
      </c>
      <c r="J227" t="s">
        <v>36</v>
      </c>
      <c r="K227" t="s">
        <v>37</v>
      </c>
    </row>
    <row r="228" spans="1:11" x14ac:dyDescent="0.25">
      <c r="A228" t="s">
        <v>1415</v>
      </c>
      <c r="B228" s="1">
        <v>1239</v>
      </c>
      <c r="C228" t="s">
        <v>1416</v>
      </c>
      <c r="D228" t="s">
        <v>1417</v>
      </c>
      <c r="E228" t="s">
        <v>1418</v>
      </c>
      <c r="F228">
        <v>137</v>
      </c>
      <c r="G228">
        <v>2</v>
      </c>
      <c r="H228" t="s">
        <v>567</v>
      </c>
      <c r="I228" t="s">
        <v>17</v>
      </c>
      <c r="J228" t="s">
        <v>36</v>
      </c>
      <c r="K228" t="s">
        <v>37</v>
      </c>
    </row>
    <row r="229" spans="1:11" x14ac:dyDescent="0.25">
      <c r="A229" t="s">
        <v>1419</v>
      </c>
      <c r="B229" s="1">
        <v>1333</v>
      </c>
      <c r="C229" t="s">
        <v>1420</v>
      </c>
      <c r="D229" t="s">
        <v>1421</v>
      </c>
      <c r="E229" t="s">
        <v>1422</v>
      </c>
      <c r="F229" s="1">
        <v>3292</v>
      </c>
      <c r="G229">
        <v>1</v>
      </c>
      <c r="H229" t="s">
        <v>1423</v>
      </c>
      <c r="I229" t="s">
        <v>17</v>
      </c>
      <c r="J229" t="s">
        <v>36</v>
      </c>
      <c r="K229" t="s">
        <v>37</v>
      </c>
    </row>
    <row r="230" spans="1:11" x14ac:dyDescent="0.25">
      <c r="A230" t="s">
        <v>1424</v>
      </c>
      <c r="B230" s="1">
        <v>11157</v>
      </c>
      <c r="C230" t="s">
        <v>1425</v>
      </c>
      <c r="D230" t="s">
        <v>1426</v>
      </c>
      <c r="E230" t="s">
        <v>1427</v>
      </c>
      <c r="F230" s="1">
        <v>8709</v>
      </c>
      <c r="G230">
        <v>4</v>
      </c>
      <c r="H230" t="s">
        <v>1428</v>
      </c>
      <c r="I230" t="s">
        <v>17</v>
      </c>
      <c r="J230" t="s">
        <v>36</v>
      </c>
      <c r="K230" t="s">
        <v>37</v>
      </c>
    </row>
    <row r="231" spans="1:11" x14ac:dyDescent="0.25">
      <c r="A231" t="s">
        <v>1429</v>
      </c>
      <c r="B231" s="1">
        <v>16052</v>
      </c>
      <c r="C231" t="s">
        <v>1430</v>
      </c>
      <c r="D231" t="s">
        <v>1431</v>
      </c>
      <c r="E231" t="s">
        <v>1432</v>
      </c>
      <c r="F231" s="1">
        <v>4365</v>
      </c>
      <c r="G231">
        <v>6</v>
      </c>
      <c r="H231" t="s">
        <v>1433</v>
      </c>
      <c r="I231" t="s">
        <v>17</v>
      </c>
      <c r="J231" t="s">
        <v>36</v>
      </c>
      <c r="K231" t="s">
        <v>37</v>
      </c>
    </row>
    <row r="232" spans="1:11" x14ac:dyDescent="0.25">
      <c r="A232" t="s">
        <v>1434</v>
      </c>
      <c r="B232" s="1">
        <v>3364</v>
      </c>
      <c r="C232" t="s">
        <v>1435</v>
      </c>
      <c r="D232" t="s">
        <v>1436</v>
      </c>
      <c r="E232" t="s">
        <v>1437</v>
      </c>
      <c r="F232">
        <v>79</v>
      </c>
      <c r="G232">
        <v>2</v>
      </c>
      <c r="H232" t="s">
        <v>1438</v>
      </c>
      <c r="I232" t="s">
        <v>17</v>
      </c>
      <c r="J232" t="s">
        <v>36</v>
      </c>
      <c r="K232" t="s">
        <v>37</v>
      </c>
    </row>
    <row r="233" spans="1:11" x14ac:dyDescent="0.25">
      <c r="A233" t="s">
        <v>1439</v>
      </c>
      <c r="B233" s="1">
        <v>13646</v>
      </c>
      <c r="C233" t="s">
        <v>1440</v>
      </c>
      <c r="D233" t="s">
        <v>1441</v>
      </c>
      <c r="E233" t="s">
        <v>1442</v>
      </c>
      <c r="F233">
        <v>389</v>
      </c>
      <c r="G233">
        <v>3</v>
      </c>
      <c r="H233" t="s">
        <v>1443</v>
      </c>
      <c r="I233" t="s">
        <v>17</v>
      </c>
      <c r="J233" t="s">
        <v>36</v>
      </c>
      <c r="K233" t="s">
        <v>37</v>
      </c>
    </row>
    <row r="234" spans="1:11" x14ac:dyDescent="0.25">
      <c r="A234" t="s">
        <v>1444</v>
      </c>
      <c r="B234" s="1">
        <v>15918</v>
      </c>
      <c r="C234" t="s">
        <v>1445</v>
      </c>
      <c r="D234" t="s">
        <v>1446</v>
      </c>
      <c r="E234" t="s">
        <v>1447</v>
      </c>
      <c r="F234">
        <v>535</v>
      </c>
      <c r="G234">
        <v>4</v>
      </c>
      <c r="H234" t="s">
        <v>112</v>
      </c>
      <c r="I234" t="s">
        <v>17</v>
      </c>
      <c r="J234" t="s">
        <v>36</v>
      </c>
      <c r="K234" t="s">
        <v>37</v>
      </c>
    </row>
    <row r="235" spans="1:11" x14ac:dyDescent="0.25">
      <c r="A235" t="s">
        <v>1448</v>
      </c>
      <c r="B235" s="1">
        <v>19359</v>
      </c>
      <c r="C235" t="s">
        <v>1449</v>
      </c>
      <c r="D235" t="s">
        <v>1450</v>
      </c>
      <c r="E235" t="s">
        <v>1451</v>
      </c>
      <c r="F235">
        <v>147</v>
      </c>
      <c r="G235">
        <v>1</v>
      </c>
      <c r="H235" t="s">
        <v>1065</v>
      </c>
      <c r="I235" t="s">
        <v>17</v>
      </c>
      <c r="J235" t="s">
        <v>36</v>
      </c>
      <c r="K235" t="s">
        <v>37</v>
      </c>
    </row>
    <row r="236" spans="1:11" x14ac:dyDescent="0.25">
      <c r="A236" t="s">
        <v>1452</v>
      </c>
      <c r="B236" s="1">
        <v>24230</v>
      </c>
      <c r="C236" t="s">
        <v>1453</v>
      </c>
      <c r="D236" t="s">
        <v>1454</v>
      </c>
      <c r="E236" t="s">
        <v>1455</v>
      </c>
      <c r="F236">
        <v>191</v>
      </c>
      <c r="G236">
        <v>5</v>
      </c>
      <c r="H236" t="s">
        <v>246</v>
      </c>
      <c r="I236" t="s">
        <v>17</v>
      </c>
      <c r="J236" t="s">
        <v>36</v>
      </c>
      <c r="K236" t="s">
        <v>37</v>
      </c>
    </row>
    <row r="237" spans="1:11" x14ac:dyDescent="0.25">
      <c r="A237" t="s">
        <v>1456</v>
      </c>
      <c r="B237" s="1">
        <v>8377</v>
      </c>
      <c r="C237" t="s">
        <v>1457</v>
      </c>
      <c r="D237" t="s">
        <v>1458</v>
      </c>
      <c r="E237" t="s">
        <v>1459</v>
      </c>
      <c r="F237" s="1">
        <v>4222</v>
      </c>
      <c r="G237">
        <v>2</v>
      </c>
      <c r="H237" t="s">
        <v>1460</v>
      </c>
      <c r="I237" t="s">
        <v>17</v>
      </c>
      <c r="J237" t="s">
        <v>36</v>
      </c>
      <c r="K237" t="s">
        <v>37</v>
      </c>
    </row>
    <row r="238" spans="1:11" x14ac:dyDescent="0.25">
      <c r="A238" t="s">
        <v>1461</v>
      </c>
      <c r="B238" s="1">
        <v>1709</v>
      </c>
      <c r="C238" t="s">
        <v>1462</v>
      </c>
      <c r="D238" t="s">
        <v>1463</v>
      </c>
      <c r="E238" t="s">
        <v>1464</v>
      </c>
      <c r="F238">
        <v>723</v>
      </c>
      <c r="G238">
        <v>1</v>
      </c>
      <c r="H238" t="s">
        <v>1465</v>
      </c>
      <c r="I238" t="s">
        <v>17</v>
      </c>
      <c r="J238" t="s">
        <v>36</v>
      </c>
      <c r="K238" t="s">
        <v>37</v>
      </c>
    </row>
    <row r="239" spans="1:11" x14ac:dyDescent="0.25">
      <c r="A239" t="s">
        <v>1466</v>
      </c>
      <c r="B239" s="1">
        <v>9771</v>
      </c>
      <c r="C239" t="s">
        <v>1467</v>
      </c>
      <c r="D239" t="s">
        <v>1468</v>
      </c>
      <c r="E239" t="s">
        <v>1469</v>
      </c>
      <c r="F239">
        <v>89</v>
      </c>
      <c r="G239">
        <v>1</v>
      </c>
      <c r="H239" t="s">
        <v>1470</v>
      </c>
      <c r="I239" t="s">
        <v>17</v>
      </c>
      <c r="J239" t="s">
        <v>36</v>
      </c>
      <c r="K239" t="s">
        <v>37</v>
      </c>
    </row>
    <row r="240" spans="1:11" x14ac:dyDescent="0.25">
      <c r="A240" t="s">
        <v>1471</v>
      </c>
      <c r="B240" s="1">
        <v>2758</v>
      </c>
      <c r="C240" t="s">
        <v>1472</v>
      </c>
      <c r="D240" t="s">
        <v>1473</v>
      </c>
      <c r="E240" t="s">
        <v>1474</v>
      </c>
      <c r="F240" s="1">
        <v>2903</v>
      </c>
      <c r="G240">
        <v>3</v>
      </c>
      <c r="H240" t="s">
        <v>1475</v>
      </c>
      <c r="I240" t="s">
        <v>17</v>
      </c>
      <c r="J240" t="s">
        <v>36</v>
      </c>
      <c r="K240" t="s">
        <v>37</v>
      </c>
    </row>
    <row r="241" spans="1:11" x14ac:dyDescent="0.25">
      <c r="A241" t="s">
        <v>1476</v>
      </c>
      <c r="B241" s="1">
        <v>11276</v>
      </c>
      <c r="C241" t="s">
        <v>1477</v>
      </c>
      <c r="D241" t="s">
        <v>1478</v>
      </c>
      <c r="E241" t="s">
        <v>1479</v>
      </c>
      <c r="F241">
        <v>659</v>
      </c>
      <c r="G241">
        <v>4</v>
      </c>
      <c r="H241" t="s">
        <v>1480</v>
      </c>
      <c r="I241" t="s">
        <v>17</v>
      </c>
      <c r="J241" t="s">
        <v>36</v>
      </c>
      <c r="K241" t="s">
        <v>37</v>
      </c>
    </row>
    <row r="242" spans="1:11" x14ac:dyDescent="0.25">
      <c r="A242" t="s">
        <v>1481</v>
      </c>
      <c r="B242" s="1">
        <v>5670</v>
      </c>
      <c r="C242" t="s">
        <v>1482</v>
      </c>
      <c r="D242" t="s">
        <v>1483</v>
      </c>
      <c r="E242" t="s">
        <v>1484</v>
      </c>
      <c r="F242">
        <v>122</v>
      </c>
      <c r="G242">
        <v>2</v>
      </c>
      <c r="H242" t="s">
        <v>360</v>
      </c>
      <c r="I242" t="s">
        <v>17</v>
      </c>
      <c r="J242" t="s">
        <v>36</v>
      </c>
      <c r="K242" t="s">
        <v>37</v>
      </c>
    </row>
    <row r="243" spans="1:11" x14ac:dyDescent="0.25">
      <c r="A243" t="s">
        <v>1485</v>
      </c>
      <c r="B243">
        <v>517</v>
      </c>
      <c r="C243" t="s">
        <v>1486</v>
      </c>
      <c r="D243" t="s">
        <v>1487</v>
      </c>
      <c r="E243" t="s">
        <v>1488</v>
      </c>
      <c r="F243">
        <v>641</v>
      </c>
      <c r="G243">
        <v>3</v>
      </c>
      <c r="H243" t="s">
        <v>1489</v>
      </c>
      <c r="I243" t="s">
        <v>17</v>
      </c>
      <c r="J243" t="s">
        <v>36</v>
      </c>
      <c r="K243" t="s">
        <v>37</v>
      </c>
    </row>
    <row r="244" spans="1:11" x14ac:dyDescent="0.25">
      <c r="A244" t="s">
        <v>1490</v>
      </c>
      <c r="B244">
        <v>401</v>
      </c>
      <c r="C244" t="s">
        <v>1491</v>
      </c>
      <c r="D244" t="s">
        <v>1492</v>
      </c>
      <c r="E244" t="s">
        <v>1493</v>
      </c>
      <c r="F244" s="1">
        <v>1696</v>
      </c>
      <c r="G244">
        <v>2</v>
      </c>
      <c r="H244" t="s">
        <v>1494</v>
      </c>
      <c r="I244" t="s">
        <v>174</v>
      </c>
      <c r="J244" t="s">
        <v>36</v>
      </c>
      <c r="K244" t="s">
        <v>37</v>
      </c>
    </row>
    <row r="245" spans="1:11" x14ac:dyDescent="0.25">
      <c r="A245" t="s">
        <v>1495</v>
      </c>
      <c r="B245">
        <v>823</v>
      </c>
      <c r="C245" t="s">
        <v>1496</v>
      </c>
      <c r="D245" t="s">
        <v>1497</v>
      </c>
      <c r="E245" t="s">
        <v>1498</v>
      </c>
      <c r="F245">
        <v>145</v>
      </c>
      <c r="G245">
        <v>3</v>
      </c>
      <c r="H245" t="s">
        <v>1499</v>
      </c>
      <c r="I245" t="s">
        <v>17</v>
      </c>
      <c r="J245" t="s">
        <v>36</v>
      </c>
      <c r="K245" t="s">
        <v>37</v>
      </c>
    </row>
    <row r="246" spans="1:11" x14ac:dyDescent="0.25">
      <c r="A246" t="s">
        <v>1500</v>
      </c>
      <c r="B246">
        <v>266</v>
      </c>
      <c r="C246" t="s">
        <v>1501</v>
      </c>
      <c r="D246" t="s">
        <v>1502</v>
      </c>
      <c r="E246" t="s">
        <v>1503</v>
      </c>
      <c r="F246" s="1">
        <v>1286</v>
      </c>
      <c r="G246">
        <v>2</v>
      </c>
      <c r="H246" t="s">
        <v>1504</v>
      </c>
      <c r="I246" t="s">
        <v>17</v>
      </c>
      <c r="J246" t="s">
        <v>36</v>
      </c>
      <c r="K246" t="s">
        <v>37</v>
      </c>
    </row>
    <row r="247" spans="1:11" x14ac:dyDescent="0.25">
      <c r="A247" t="s">
        <v>1505</v>
      </c>
      <c r="B247" s="1">
        <v>4925</v>
      </c>
      <c r="C247" t="s">
        <v>1506</v>
      </c>
      <c r="D247" t="s">
        <v>1507</v>
      </c>
      <c r="E247" t="s">
        <v>1508</v>
      </c>
      <c r="F247" s="1">
        <v>7221</v>
      </c>
      <c r="G247">
        <v>1</v>
      </c>
      <c r="H247" t="s">
        <v>1509</v>
      </c>
      <c r="I247" t="s">
        <v>17</v>
      </c>
      <c r="J247" t="s">
        <v>36</v>
      </c>
      <c r="K247" t="s">
        <v>37</v>
      </c>
    </row>
    <row r="248" spans="1:11" x14ac:dyDescent="0.25">
      <c r="A248" t="s">
        <v>1510</v>
      </c>
      <c r="B248" s="1">
        <v>1032</v>
      </c>
      <c r="C248" t="s">
        <v>1511</v>
      </c>
      <c r="D248" t="s">
        <v>1512</v>
      </c>
      <c r="E248" t="s">
        <v>1513</v>
      </c>
      <c r="F248" s="1">
        <v>4590</v>
      </c>
      <c r="G248">
        <v>1</v>
      </c>
      <c r="H248" t="s">
        <v>1514</v>
      </c>
      <c r="I248" t="s">
        <v>17</v>
      </c>
      <c r="J248" t="s">
        <v>36</v>
      </c>
      <c r="K248" t="s">
        <v>37</v>
      </c>
    </row>
    <row r="249" spans="1:11" x14ac:dyDescent="0.25">
      <c r="A249" t="s">
        <v>1515</v>
      </c>
      <c r="B249" s="1">
        <v>1636</v>
      </c>
      <c r="C249" t="s">
        <v>1516</v>
      </c>
      <c r="D249" t="s">
        <v>1517</v>
      </c>
      <c r="E249" t="s">
        <v>1518</v>
      </c>
      <c r="F249" s="1">
        <v>3330</v>
      </c>
      <c r="G249">
        <v>2</v>
      </c>
      <c r="H249" t="s">
        <v>1519</v>
      </c>
      <c r="I249" t="s">
        <v>17</v>
      </c>
      <c r="J249" t="s">
        <v>36</v>
      </c>
      <c r="K249" t="s">
        <v>37</v>
      </c>
    </row>
    <row r="250" spans="1:11" x14ac:dyDescent="0.25">
      <c r="A250" t="s">
        <v>1520</v>
      </c>
      <c r="B250" s="1">
        <v>2270</v>
      </c>
      <c r="C250" t="s">
        <v>1521</v>
      </c>
      <c r="D250" t="s">
        <v>1522</v>
      </c>
      <c r="E250" t="s">
        <v>1523</v>
      </c>
      <c r="F250">
        <v>916</v>
      </c>
      <c r="G250">
        <v>2</v>
      </c>
      <c r="H250" t="s">
        <v>1524</v>
      </c>
      <c r="I250" t="s">
        <v>17</v>
      </c>
      <c r="J250" t="s">
        <v>36</v>
      </c>
      <c r="K250" t="s">
        <v>37</v>
      </c>
    </row>
    <row r="251" spans="1:11" x14ac:dyDescent="0.25">
      <c r="A251" t="s">
        <v>1525</v>
      </c>
      <c r="B251" s="1">
        <v>29341</v>
      </c>
      <c r="C251" t="s">
        <v>1526</v>
      </c>
      <c r="D251" t="s">
        <v>1527</v>
      </c>
      <c r="E251" t="s">
        <v>1528</v>
      </c>
      <c r="F251" s="1">
        <v>7710</v>
      </c>
      <c r="G251">
        <v>3</v>
      </c>
      <c r="H251" t="s">
        <v>1529</v>
      </c>
      <c r="I251" t="s">
        <v>17</v>
      </c>
      <c r="J251" t="s">
        <v>36</v>
      </c>
      <c r="K251" t="s">
        <v>37</v>
      </c>
    </row>
    <row r="252" spans="1:11" x14ac:dyDescent="0.25">
      <c r="A252" t="s">
        <v>1530</v>
      </c>
      <c r="B252" s="1">
        <v>4632</v>
      </c>
      <c r="C252" t="s">
        <v>1531</v>
      </c>
      <c r="D252" t="s">
        <v>1532</v>
      </c>
      <c r="E252" t="s">
        <v>1533</v>
      </c>
      <c r="F252" s="1">
        <v>2946</v>
      </c>
      <c r="G252">
        <v>2</v>
      </c>
      <c r="H252" t="s">
        <v>1534</v>
      </c>
      <c r="I252" t="s">
        <v>17</v>
      </c>
      <c r="J252" t="s">
        <v>36</v>
      </c>
      <c r="K252" t="s">
        <v>37</v>
      </c>
    </row>
    <row r="253" spans="1:11" x14ac:dyDescent="0.25">
      <c r="A253" t="s">
        <v>1535</v>
      </c>
      <c r="B253" s="1">
        <v>1743</v>
      </c>
      <c r="C253" t="s">
        <v>1536</v>
      </c>
      <c r="D253" t="s">
        <v>1537</v>
      </c>
      <c r="G253">
        <v>1</v>
      </c>
      <c r="H253" t="s">
        <v>1538</v>
      </c>
      <c r="I253" t="s">
        <v>17</v>
      </c>
      <c r="J253" t="s">
        <v>36</v>
      </c>
      <c r="K253" t="s">
        <v>37</v>
      </c>
    </row>
    <row r="254" spans="1:11" x14ac:dyDescent="0.25">
      <c r="A254" t="s">
        <v>1539</v>
      </c>
      <c r="B254" s="1">
        <v>12667</v>
      </c>
      <c r="C254" t="s">
        <v>1540</v>
      </c>
      <c r="D254" t="s">
        <v>1541</v>
      </c>
      <c r="E254" t="s">
        <v>1542</v>
      </c>
      <c r="F254">
        <v>263</v>
      </c>
      <c r="G254">
        <v>2</v>
      </c>
      <c r="H254" t="s">
        <v>1543</v>
      </c>
      <c r="I254" t="s">
        <v>17</v>
      </c>
      <c r="J254" t="s">
        <v>36</v>
      </c>
      <c r="K254" t="s">
        <v>37</v>
      </c>
    </row>
    <row r="255" spans="1:11" x14ac:dyDescent="0.25">
      <c r="A255" t="s">
        <v>1544</v>
      </c>
      <c r="B255" s="1">
        <v>2103</v>
      </c>
      <c r="C255" t="s">
        <v>1545</v>
      </c>
      <c r="D255" t="s">
        <v>1546</v>
      </c>
      <c r="E255" t="s">
        <v>1547</v>
      </c>
      <c r="F255" s="1">
        <v>1439</v>
      </c>
      <c r="G255">
        <v>1</v>
      </c>
      <c r="H255" t="s">
        <v>1548</v>
      </c>
      <c r="I255" t="s">
        <v>17</v>
      </c>
      <c r="J255" t="s">
        <v>36</v>
      </c>
      <c r="K255" t="s">
        <v>37</v>
      </c>
    </row>
    <row r="256" spans="1:11" x14ac:dyDescent="0.25">
      <c r="A256" t="s">
        <v>1549</v>
      </c>
      <c r="B256" s="1">
        <v>10725</v>
      </c>
      <c r="C256" t="s">
        <v>1550</v>
      </c>
      <c r="D256" t="s">
        <v>1551</v>
      </c>
      <c r="E256" t="s">
        <v>1552</v>
      </c>
      <c r="F256" s="1">
        <v>3457</v>
      </c>
      <c r="G256">
        <v>1</v>
      </c>
      <c r="H256" t="s">
        <v>1553</v>
      </c>
      <c r="I256" t="s">
        <v>17</v>
      </c>
      <c r="J256" t="s">
        <v>36</v>
      </c>
      <c r="K256" t="s">
        <v>37</v>
      </c>
    </row>
    <row r="257" spans="1:11" x14ac:dyDescent="0.25">
      <c r="A257" t="s">
        <v>1554</v>
      </c>
      <c r="B257" s="1">
        <v>3307</v>
      </c>
      <c r="C257" t="s">
        <v>1555</v>
      </c>
      <c r="D257" t="s">
        <v>1556</v>
      </c>
      <c r="E257" t="s">
        <v>1557</v>
      </c>
      <c r="F257" s="1">
        <v>3183</v>
      </c>
      <c r="G257">
        <v>1</v>
      </c>
      <c r="H257" t="s">
        <v>1558</v>
      </c>
      <c r="I257" t="s">
        <v>17</v>
      </c>
      <c r="J257" t="s">
        <v>36</v>
      </c>
      <c r="K257" t="s">
        <v>37</v>
      </c>
    </row>
    <row r="258" spans="1:11" x14ac:dyDescent="0.25">
      <c r="A258" t="s">
        <v>1559</v>
      </c>
      <c r="B258" s="1">
        <v>23869</v>
      </c>
      <c r="C258" t="s">
        <v>1560</v>
      </c>
      <c r="D258" t="s">
        <v>1561</v>
      </c>
      <c r="E258" t="s">
        <v>1562</v>
      </c>
      <c r="F258">
        <v>185</v>
      </c>
      <c r="G258">
        <v>3</v>
      </c>
      <c r="H258" t="s">
        <v>1563</v>
      </c>
      <c r="I258" t="s">
        <v>17</v>
      </c>
      <c r="J258" t="s">
        <v>36</v>
      </c>
      <c r="K258" t="s">
        <v>37</v>
      </c>
    </row>
    <row r="259" spans="1:11" x14ac:dyDescent="0.25">
      <c r="A259" t="s">
        <v>1564</v>
      </c>
      <c r="B259" s="1">
        <v>6340</v>
      </c>
      <c r="C259" t="s">
        <v>1565</v>
      </c>
      <c r="D259" t="s">
        <v>1566</v>
      </c>
      <c r="G259">
        <v>1</v>
      </c>
      <c r="H259" t="s">
        <v>1567</v>
      </c>
      <c r="I259" t="s">
        <v>17</v>
      </c>
      <c r="J259" t="s">
        <v>36</v>
      </c>
      <c r="K259" t="s">
        <v>37</v>
      </c>
    </row>
    <row r="260" spans="1:11" x14ac:dyDescent="0.25">
      <c r="A260" t="s">
        <v>1568</v>
      </c>
      <c r="B260" s="1">
        <v>15672</v>
      </c>
      <c r="C260" t="s">
        <v>1569</v>
      </c>
      <c r="D260" t="s">
        <v>1570</v>
      </c>
      <c r="E260" t="s">
        <v>1571</v>
      </c>
      <c r="F260">
        <v>349</v>
      </c>
      <c r="G260">
        <v>2</v>
      </c>
      <c r="H260" t="s">
        <v>1572</v>
      </c>
      <c r="I260" t="s">
        <v>17</v>
      </c>
      <c r="J260" t="s">
        <v>36</v>
      </c>
      <c r="K260" t="s">
        <v>37</v>
      </c>
    </row>
    <row r="261" spans="1:11" x14ac:dyDescent="0.25">
      <c r="A261" t="s">
        <v>1573</v>
      </c>
      <c r="B261" s="1">
        <v>4628</v>
      </c>
      <c r="C261" t="s">
        <v>1574</v>
      </c>
      <c r="D261" t="s">
        <v>1575</v>
      </c>
      <c r="E261" t="s">
        <v>1576</v>
      </c>
      <c r="F261">
        <v>63</v>
      </c>
      <c r="G261">
        <v>2</v>
      </c>
      <c r="H261" t="s">
        <v>1577</v>
      </c>
      <c r="I261" t="s">
        <v>17</v>
      </c>
      <c r="J261" t="s">
        <v>36</v>
      </c>
      <c r="K261" t="s">
        <v>37</v>
      </c>
    </row>
    <row r="262" spans="1:11" x14ac:dyDescent="0.25">
      <c r="A262" t="s">
        <v>1578</v>
      </c>
      <c r="B262" s="1">
        <v>74163</v>
      </c>
      <c r="C262" t="s">
        <v>1579</v>
      </c>
      <c r="D262" t="s">
        <v>1580</v>
      </c>
      <c r="E262" t="s">
        <v>1581</v>
      </c>
      <c r="F262" s="1">
        <v>8591</v>
      </c>
      <c r="G262">
        <v>3</v>
      </c>
      <c r="H262" t="s">
        <v>1582</v>
      </c>
      <c r="I262" t="s">
        <v>17</v>
      </c>
      <c r="J262" t="s">
        <v>36</v>
      </c>
      <c r="K262" t="s">
        <v>37</v>
      </c>
    </row>
    <row r="263" spans="1:11" x14ac:dyDescent="0.25">
      <c r="A263" t="s">
        <v>1583</v>
      </c>
      <c r="B263" s="1">
        <v>10282</v>
      </c>
      <c r="C263" t="s">
        <v>1584</v>
      </c>
      <c r="D263" t="s">
        <v>1585</v>
      </c>
      <c r="E263" t="s">
        <v>1586</v>
      </c>
      <c r="F263" s="1">
        <v>1933</v>
      </c>
      <c r="G263">
        <v>2</v>
      </c>
      <c r="H263" t="s">
        <v>1587</v>
      </c>
      <c r="I263" t="s">
        <v>17</v>
      </c>
      <c r="J263" t="s">
        <v>36</v>
      </c>
      <c r="K263" t="s">
        <v>37</v>
      </c>
    </row>
    <row r="264" spans="1:11" x14ac:dyDescent="0.25">
      <c r="A264" t="s">
        <v>1588</v>
      </c>
      <c r="B264" s="1">
        <v>85822</v>
      </c>
      <c r="C264" t="s">
        <v>1589</v>
      </c>
      <c r="D264" t="s">
        <v>1590</v>
      </c>
      <c r="E264" t="s">
        <v>1591</v>
      </c>
      <c r="F264">
        <v>712</v>
      </c>
      <c r="G264">
        <v>6</v>
      </c>
      <c r="H264" t="s">
        <v>1592</v>
      </c>
      <c r="I264" t="s">
        <v>91</v>
      </c>
      <c r="J264" t="s">
        <v>36</v>
      </c>
      <c r="K264" t="s">
        <v>37</v>
      </c>
    </row>
    <row r="265" spans="1:11" x14ac:dyDescent="0.25">
      <c r="A265" t="s">
        <v>1593</v>
      </c>
      <c r="B265" s="1">
        <v>94358</v>
      </c>
      <c r="C265" t="s">
        <v>1594</v>
      </c>
      <c r="D265" t="s">
        <v>1595</v>
      </c>
      <c r="E265" t="s">
        <v>1596</v>
      </c>
      <c r="F265">
        <v>699</v>
      </c>
      <c r="G265">
        <v>2</v>
      </c>
      <c r="H265" t="s">
        <v>687</v>
      </c>
      <c r="I265" t="s">
        <v>17</v>
      </c>
      <c r="J265" t="s">
        <v>36</v>
      </c>
      <c r="K265" t="s">
        <v>37</v>
      </c>
    </row>
    <row r="266" spans="1:11" x14ac:dyDescent="0.25">
      <c r="A266" t="s">
        <v>499</v>
      </c>
      <c r="B266" s="1">
        <v>2470</v>
      </c>
      <c r="C266" t="s">
        <v>500</v>
      </c>
      <c r="D266" t="s">
        <v>501</v>
      </c>
      <c r="E266" t="s">
        <v>502</v>
      </c>
      <c r="F266" s="1">
        <v>96152</v>
      </c>
      <c r="G266">
        <v>5</v>
      </c>
      <c r="H266" t="s">
        <v>503</v>
      </c>
      <c r="I266" t="s">
        <v>91</v>
      </c>
      <c r="J266" t="s">
        <v>504</v>
      </c>
    </row>
    <row r="267" spans="1:11" x14ac:dyDescent="0.25">
      <c r="A267" t="s">
        <v>539</v>
      </c>
      <c r="B267" s="1">
        <v>1375</v>
      </c>
      <c r="C267" t="s">
        <v>540</v>
      </c>
      <c r="D267" t="s">
        <v>541</v>
      </c>
      <c r="E267" t="s">
        <v>542</v>
      </c>
      <c r="F267" s="1">
        <v>166407</v>
      </c>
      <c r="G267">
        <v>4</v>
      </c>
      <c r="H267" t="s">
        <v>543</v>
      </c>
      <c r="I267" t="s">
        <v>174</v>
      </c>
      <c r="J267" t="s">
        <v>504</v>
      </c>
    </row>
    <row r="268" spans="1:11" x14ac:dyDescent="0.25">
      <c r="A268" t="s">
        <v>1597</v>
      </c>
      <c r="B268" s="1">
        <v>57404</v>
      </c>
      <c r="C268" t="s">
        <v>1598</v>
      </c>
      <c r="D268" t="s">
        <v>1599</v>
      </c>
      <c r="E268" t="s">
        <v>1600</v>
      </c>
      <c r="F268">
        <v>625</v>
      </c>
      <c r="G268">
        <v>2</v>
      </c>
      <c r="H268" t="s">
        <v>1601</v>
      </c>
      <c r="I268" t="s">
        <v>17</v>
      </c>
      <c r="J268" t="s">
        <v>504</v>
      </c>
    </row>
    <row r="269" spans="1:11" x14ac:dyDescent="0.25">
      <c r="A269" t="s">
        <v>1602</v>
      </c>
      <c r="B269" s="1">
        <v>5890</v>
      </c>
      <c r="C269" t="s">
        <v>1603</v>
      </c>
      <c r="D269" t="s">
        <v>1604</v>
      </c>
      <c r="E269" t="s">
        <v>1605</v>
      </c>
      <c r="F269" s="1">
        <v>7078</v>
      </c>
      <c r="G269">
        <v>1</v>
      </c>
      <c r="H269" t="s">
        <v>1606</v>
      </c>
      <c r="I269" t="s">
        <v>17</v>
      </c>
      <c r="J269" t="s">
        <v>504</v>
      </c>
    </row>
    <row r="270" spans="1:11" x14ac:dyDescent="0.25">
      <c r="A270" t="s">
        <v>1607</v>
      </c>
      <c r="B270" s="1">
        <v>4902</v>
      </c>
      <c r="C270" t="s">
        <v>1608</v>
      </c>
      <c r="D270" t="s">
        <v>1609</v>
      </c>
      <c r="E270" t="s">
        <v>1610</v>
      </c>
      <c r="F270">
        <v>91</v>
      </c>
      <c r="G270">
        <v>5</v>
      </c>
      <c r="H270" t="s">
        <v>1611</v>
      </c>
      <c r="I270" t="s">
        <v>91</v>
      </c>
      <c r="J270" t="s">
        <v>504</v>
      </c>
    </row>
    <row r="271" spans="1:11" x14ac:dyDescent="0.25">
      <c r="A271" t="s">
        <v>1612</v>
      </c>
      <c r="B271">
        <v>302</v>
      </c>
      <c r="C271" t="s">
        <v>1613</v>
      </c>
      <c r="D271" t="s">
        <v>1614</v>
      </c>
      <c r="E271" t="s">
        <v>1615</v>
      </c>
      <c r="F271" s="1">
        <v>1542</v>
      </c>
      <c r="G271">
        <v>5</v>
      </c>
      <c r="H271" t="s">
        <v>1616</v>
      </c>
      <c r="I271" t="s">
        <v>91</v>
      </c>
      <c r="J271" t="s">
        <v>504</v>
      </c>
    </row>
    <row r="272" spans="1:11" x14ac:dyDescent="0.25">
      <c r="A272" t="s">
        <v>1617</v>
      </c>
      <c r="B272">
        <v>695</v>
      </c>
      <c r="C272" t="s">
        <v>1618</v>
      </c>
      <c r="D272" t="s">
        <v>1619</v>
      </c>
      <c r="E272" t="s">
        <v>1620</v>
      </c>
      <c r="F272">
        <v>812</v>
      </c>
      <c r="G272">
        <v>1</v>
      </c>
      <c r="H272" t="s">
        <v>1621</v>
      </c>
      <c r="I272" t="s">
        <v>17</v>
      </c>
      <c r="J272" t="s">
        <v>504</v>
      </c>
    </row>
    <row r="273" spans="1:10" x14ac:dyDescent="0.25">
      <c r="A273" t="s">
        <v>1622</v>
      </c>
      <c r="B273" s="1">
        <v>8407</v>
      </c>
      <c r="C273" t="s">
        <v>1623</v>
      </c>
      <c r="D273" t="s">
        <v>1624</v>
      </c>
      <c r="E273" t="s">
        <v>1625</v>
      </c>
      <c r="F273">
        <v>453</v>
      </c>
      <c r="G273">
        <v>4</v>
      </c>
      <c r="H273" t="s">
        <v>1626</v>
      </c>
      <c r="I273" t="s">
        <v>91</v>
      </c>
      <c r="J273" t="s">
        <v>504</v>
      </c>
    </row>
    <row r="274" spans="1:10" x14ac:dyDescent="0.25">
      <c r="A274" t="s">
        <v>1627</v>
      </c>
      <c r="B274">
        <v>310</v>
      </c>
      <c r="C274" t="s">
        <v>1628</v>
      </c>
      <c r="D274" t="s">
        <v>1629</v>
      </c>
      <c r="E274" t="s">
        <v>1630</v>
      </c>
      <c r="F274">
        <v>308</v>
      </c>
      <c r="G274">
        <v>1</v>
      </c>
      <c r="H274" t="s">
        <v>1631</v>
      </c>
      <c r="I274" t="s">
        <v>174</v>
      </c>
      <c r="J274" t="s">
        <v>504</v>
      </c>
    </row>
    <row r="275" spans="1:10" x14ac:dyDescent="0.25">
      <c r="A275" t="s">
        <v>1632</v>
      </c>
      <c r="B275" s="1">
        <v>12316</v>
      </c>
      <c r="C275" t="s">
        <v>1633</v>
      </c>
      <c r="D275" t="s">
        <v>1634</v>
      </c>
      <c r="E275" t="s">
        <v>1635</v>
      </c>
      <c r="F275" s="1">
        <v>4868</v>
      </c>
      <c r="G275">
        <v>1</v>
      </c>
      <c r="H275" t="s">
        <v>1636</v>
      </c>
      <c r="I275" t="s">
        <v>174</v>
      </c>
      <c r="J275" t="s">
        <v>504</v>
      </c>
    </row>
    <row r="276" spans="1:10" x14ac:dyDescent="0.25">
      <c r="A276" t="s">
        <v>1637</v>
      </c>
      <c r="B276">
        <v>475</v>
      </c>
      <c r="C276" t="s">
        <v>1638</v>
      </c>
      <c r="D276" t="s">
        <v>1639</v>
      </c>
      <c r="E276" t="s">
        <v>1640</v>
      </c>
      <c r="F276">
        <v>71</v>
      </c>
      <c r="G276">
        <v>7</v>
      </c>
      <c r="H276" t="s">
        <v>1641</v>
      </c>
      <c r="I276" t="s">
        <v>17</v>
      </c>
      <c r="J276" t="s">
        <v>504</v>
      </c>
    </row>
    <row r="277" spans="1:10" x14ac:dyDescent="0.25">
      <c r="A277" t="s">
        <v>1642</v>
      </c>
      <c r="B277" s="1">
        <v>3801</v>
      </c>
      <c r="C277" t="s">
        <v>1643</v>
      </c>
      <c r="D277" t="s">
        <v>1644</v>
      </c>
      <c r="E277" t="s">
        <v>1645</v>
      </c>
      <c r="F277">
        <v>663</v>
      </c>
      <c r="G277">
        <v>1</v>
      </c>
      <c r="H277" t="s">
        <v>1646</v>
      </c>
      <c r="I277" t="s">
        <v>17</v>
      </c>
      <c r="J277" t="s">
        <v>504</v>
      </c>
    </row>
    <row r="278" spans="1:10" x14ac:dyDescent="0.25">
      <c r="A278" t="s">
        <v>1647</v>
      </c>
      <c r="B278" s="1">
        <v>19077</v>
      </c>
      <c r="C278" t="s">
        <v>1648</v>
      </c>
      <c r="D278" t="s">
        <v>1649</v>
      </c>
      <c r="E278" t="s">
        <v>1650</v>
      </c>
      <c r="F278">
        <v>796</v>
      </c>
      <c r="G278">
        <v>6</v>
      </c>
      <c r="H278" t="s">
        <v>1651</v>
      </c>
      <c r="I278" t="s">
        <v>17</v>
      </c>
      <c r="J278" t="s">
        <v>504</v>
      </c>
    </row>
    <row r="279" spans="1:10" x14ac:dyDescent="0.25">
      <c r="A279" t="s">
        <v>1652</v>
      </c>
      <c r="B279" s="1">
        <v>2042</v>
      </c>
      <c r="C279" t="s">
        <v>1653</v>
      </c>
      <c r="D279" t="s">
        <v>1654</v>
      </c>
      <c r="E279" t="s">
        <v>1655</v>
      </c>
      <c r="F279" s="1">
        <v>1799</v>
      </c>
      <c r="G279">
        <v>2</v>
      </c>
      <c r="H279" t="s">
        <v>1656</v>
      </c>
      <c r="I279" t="s">
        <v>17</v>
      </c>
      <c r="J279" t="s">
        <v>504</v>
      </c>
    </row>
    <row r="280" spans="1:10" x14ac:dyDescent="0.25">
      <c r="A280" t="s">
        <v>133</v>
      </c>
      <c r="B280">
        <v>944</v>
      </c>
      <c r="C280" t="s">
        <v>134</v>
      </c>
      <c r="D280" t="s">
        <v>135</v>
      </c>
      <c r="E280" t="s">
        <v>136</v>
      </c>
      <c r="F280" s="1">
        <v>12794</v>
      </c>
      <c r="G280">
        <v>3</v>
      </c>
      <c r="H280" t="s">
        <v>137</v>
      </c>
      <c r="I280" t="s">
        <v>17</v>
      </c>
      <c r="J280" t="s">
        <v>138</v>
      </c>
    </row>
    <row r="281" spans="1:10" x14ac:dyDescent="0.25">
      <c r="A281" t="s">
        <v>164</v>
      </c>
      <c r="B281" s="1">
        <v>1876</v>
      </c>
      <c r="C281" t="s">
        <v>165</v>
      </c>
      <c r="D281" t="s">
        <v>166</v>
      </c>
      <c r="E281" t="s">
        <v>167</v>
      </c>
      <c r="F281" s="1">
        <v>14817</v>
      </c>
      <c r="G281">
        <v>1</v>
      </c>
      <c r="H281" t="s">
        <v>168</v>
      </c>
      <c r="I281" t="s">
        <v>17</v>
      </c>
      <c r="J281" t="s">
        <v>138</v>
      </c>
    </row>
    <row r="282" spans="1:10" x14ac:dyDescent="0.25">
      <c r="A282" t="s">
        <v>185</v>
      </c>
      <c r="B282" s="1">
        <v>1552</v>
      </c>
      <c r="C282" t="s">
        <v>186</v>
      </c>
      <c r="D282" t="s">
        <v>187</v>
      </c>
      <c r="E282" t="s">
        <v>188</v>
      </c>
      <c r="F282" s="1">
        <v>15665</v>
      </c>
      <c r="G282">
        <v>2</v>
      </c>
      <c r="H282" t="s">
        <v>189</v>
      </c>
      <c r="I282" t="s">
        <v>17</v>
      </c>
      <c r="J282" t="s">
        <v>138</v>
      </c>
    </row>
    <row r="283" spans="1:10" x14ac:dyDescent="0.25">
      <c r="A283" t="s">
        <v>312</v>
      </c>
      <c r="B283" s="1">
        <v>52788</v>
      </c>
      <c r="C283" t="s">
        <v>313</v>
      </c>
      <c r="D283" t="s">
        <v>314</v>
      </c>
      <c r="E283" t="s">
        <v>315</v>
      </c>
      <c r="F283" s="1">
        <v>24120</v>
      </c>
      <c r="G283">
        <v>9</v>
      </c>
      <c r="H283" t="s">
        <v>316</v>
      </c>
      <c r="I283" t="s">
        <v>17</v>
      </c>
      <c r="J283" t="s">
        <v>138</v>
      </c>
    </row>
    <row r="284" spans="1:10" x14ac:dyDescent="0.25">
      <c r="A284" t="s">
        <v>392</v>
      </c>
      <c r="B284" s="1">
        <v>12545</v>
      </c>
      <c r="C284" t="s">
        <v>393</v>
      </c>
      <c r="D284" t="s">
        <v>394</v>
      </c>
      <c r="E284" t="s">
        <v>395</v>
      </c>
      <c r="F284" s="1">
        <v>35004</v>
      </c>
      <c r="G284">
        <v>5</v>
      </c>
      <c r="H284" t="s">
        <v>396</v>
      </c>
      <c r="I284" t="s">
        <v>17</v>
      </c>
      <c r="J284" t="s">
        <v>138</v>
      </c>
    </row>
    <row r="285" spans="1:10" x14ac:dyDescent="0.25">
      <c r="A285" t="s">
        <v>442</v>
      </c>
      <c r="B285" s="1">
        <v>3537</v>
      </c>
      <c r="C285" t="s">
        <v>443</v>
      </c>
      <c r="D285" t="s">
        <v>444</v>
      </c>
      <c r="E285" t="s">
        <v>445</v>
      </c>
      <c r="F285" s="1">
        <v>52011</v>
      </c>
      <c r="G285">
        <v>2</v>
      </c>
      <c r="H285" t="s">
        <v>446</v>
      </c>
      <c r="I285" t="s">
        <v>17</v>
      </c>
      <c r="J285" t="s">
        <v>138</v>
      </c>
    </row>
    <row r="286" spans="1:10" x14ac:dyDescent="0.25">
      <c r="A286" t="s">
        <v>1657</v>
      </c>
      <c r="B286" s="1">
        <v>68987</v>
      </c>
      <c r="C286" t="s">
        <v>1658</v>
      </c>
      <c r="D286" t="s">
        <v>1659</v>
      </c>
      <c r="E286" t="s">
        <v>1660</v>
      </c>
      <c r="F286" s="1">
        <v>5461</v>
      </c>
      <c r="G286">
        <v>8</v>
      </c>
      <c r="H286" t="s">
        <v>1661</v>
      </c>
      <c r="I286" t="s">
        <v>17</v>
      </c>
      <c r="J286" t="s">
        <v>138</v>
      </c>
    </row>
    <row r="287" spans="1:10" x14ac:dyDescent="0.25">
      <c r="A287" t="s">
        <v>1662</v>
      </c>
      <c r="B287" s="1">
        <v>10355</v>
      </c>
      <c r="C287" t="s">
        <v>1663</v>
      </c>
      <c r="D287" t="s">
        <v>1664</v>
      </c>
      <c r="E287" t="s">
        <v>1665</v>
      </c>
      <c r="F287">
        <v>63</v>
      </c>
      <c r="G287">
        <v>1</v>
      </c>
      <c r="H287" t="s">
        <v>1666</v>
      </c>
      <c r="I287" t="s">
        <v>17</v>
      </c>
      <c r="J287" t="s">
        <v>138</v>
      </c>
    </row>
    <row r="288" spans="1:10" x14ac:dyDescent="0.25">
      <c r="A288" t="s">
        <v>1667</v>
      </c>
      <c r="B288" s="1">
        <v>682572</v>
      </c>
      <c r="C288" t="s">
        <v>1668</v>
      </c>
      <c r="D288" t="s">
        <v>1669</v>
      </c>
      <c r="E288" t="s">
        <v>1670</v>
      </c>
      <c r="F288" s="1">
        <v>4939</v>
      </c>
      <c r="G288">
        <v>16</v>
      </c>
      <c r="H288" t="s">
        <v>1671</v>
      </c>
      <c r="I288" t="s">
        <v>17</v>
      </c>
      <c r="J288" t="s">
        <v>138</v>
      </c>
    </row>
    <row r="289" spans="1:10" x14ac:dyDescent="0.25">
      <c r="A289" t="s">
        <v>1672</v>
      </c>
      <c r="B289" s="1">
        <v>5446</v>
      </c>
      <c r="C289" t="s">
        <v>1673</v>
      </c>
      <c r="D289" t="s">
        <v>1674</v>
      </c>
      <c r="E289" t="s">
        <v>1675</v>
      </c>
      <c r="F289" s="1">
        <v>1484</v>
      </c>
      <c r="G289">
        <v>6</v>
      </c>
      <c r="H289" t="s">
        <v>1676</v>
      </c>
      <c r="I289" t="s">
        <v>17</v>
      </c>
      <c r="J289" t="s">
        <v>138</v>
      </c>
    </row>
    <row r="290" spans="1:10" x14ac:dyDescent="0.25">
      <c r="A290" t="s">
        <v>1677</v>
      </c>
      <c r="B290" s="1">
        <v>7516</v>
      </c>
      <c r="C290" t="s">
        <v>1678</v>
      </c>
      <c r="D290" t="s">
        <v>1679</v>
      </c>
      <c r="E290" t="s">
        <v>1680</v>
      </c>
      <c r="F290">
        <v>133</v>
      </c>
      <c r="G290">
        <v>4</v>
      </c>
      <c r="H290" t="s">
        <v>1681</v>
      </c>
      <c r="I290" t="s">
        <v>17</v>
      </c>
      <c r="J290" t="s">
        <v>138</v>
      </c>
    </row>
    <row r="291" spans="1:10" x14ac:dyDescent="0.25">
      <c r="A291" t="s">
        <v>1682</v>
      </c>
      <c r="B291" s="1">
        <v>215948</v>
      </c>
      <c r="C291" t="s">
        <v>1683</v>
      </c>
      <c r="D291" t="s">
        <v>1684</v>
      </c>
      <c r="E291" t="s">
        <v>1685</v>
      </c>
      <c r="F291">
        <v>341</v>
      </c>
      <c r="G291">
        <v>7</v>
      </c>
      <c r="H291" t="s">
        <v>1686</v>
      </c>
      <c r="I291" t="s">
        <v>17</v>
      </c>
      <c r="J291" t="s">
        <v>138</v>
      </c>
    </row>
    <row r="292" spans="1:10" x14ac:dyDescent="0.25">
      <c r="A292" t="s">
        <v>1687</v>
      </c>
      <c r="B292" s="1">
        <v>1261</v>
      </c>
      <c r="C292" t="s">
        <v>1688</v>
      </c>
      <c r="D292" t="s">
        <v>1689</v>
      </c>
      <c r="E292" t="s">
        <v>1690</v>
      </c>
      <c r="F292">
        <v>155</v>
      </c>
      <c r="G292">
        <v>3</v>
      </c>
      <c r="H292" t="s">
        <v>1691</v>
      </c>
      <c r="I292" t="s">
        <v>17</v>
      </c>
      <c r="J292" t="s">
        <v>138</v>
      </c>
    </row>
    <row r="293" spans="1:10" x14ac:dyDescent="0.25">
      <c r="A293" t="s">
        <v>1692</v>
      </c>
      <c r="B293">
        <v>345</v>
      </c>
      <c r="C293" t="s">
        <v>1693</v>
      </c>
      <c r="D293" t="s">
        <v>1694</v>
      </c>
      <c r="G293">
        <v>5</v>
      </c>
      <c r="H293" t="s">
        <v>1695</v>
      </c>
      <c r="I293" t="s">
        <v>17</v>
      </c>
      <c r="J293" t="s">
        <v>138</v>
      </c>
    </row>
    <row r="294" spans="1:10" x14ac:dyDescent="0.25">
      <c r="A294" t="s">
        <v>1696</v>
      </c>
      <c r="B294" s="1">
        <v>3753</v>
      </c>
      <c r="C294" t="s">
        <v>1697</v>
      </c>
      <c r="D294" t="s">
        <v>1698</v>
      </c>
      <c r="E294" t="s">
        <v>1699</v>
      </c>
      <c r="F294" s="1">
        <v>1447</v>
      </c>
      <c r="G294">
        <v>4</v>
      </c>
      <c r="H294" t="s">
        <v>1700</v>
      </c>
      <c r="I294" t="s">
        <v>17</v>
      </c>
      <c r="J294" t="s">
        <v>138</v>
      </c>
    </row>
    <row r="295" spans="1:10" x14ac:dyDescent="0.25">
      <c r="A295" t="s">
        <v>1701</v>
      </c>
      <c r="B295" s="1">
        <v>12021</v>
      </c>
      <c r="C295" t="s">
        <v>1702</v>
      </c>
      <c r="D295" t="s">
        <v>1703</v>
      </c>
      <c r="E295" t="s">
        <v>1704</v>
      </c>
      <c r="F295">
        <v>553</v>
      </c>
      <c r="G295">
        <v>1</v>
      </c>
      <c r="H295" t="s">
        <v>1705</v>
      </c>
      <c r="I295" t="s">
        <v>17</v>
      </c>
      <c r="J295" t="s">
        <v>138</v>
      </c>
    </row>
    <row r="296" spans="1:10" x14ac:dyDescent="0.25">
      <c r="A296" t="s">
        <v>1706</v>
      </c>
      <c r="B296" s="1">
        <v>2589</v>
      </c>
      <c r="C296" t="s">
        <v>1707</v>
      </c>
      <c r="D296" t="s">
        <v>1708</v>
      </c>
      <c r="E296" t="s">
        <v>1709</v>
      </c>
      <c r="F296">
        <v>251</v>
      </c>
      <c r="G296">
        <v>1</v>
      </c>
      <c r="H296" t="s">
        <v>1710</v>
      </c>
      <c r="I296" t="s">
        <v>17</v>
      </c>
      <c r="J296" t="s">
        <v>138</v>
      </c>
    </row>
    <row r="297" spans="1:10" x14ac:dyDescent="0.25">
      <c r="A297" t="s">
        <v>1711</v>
      </c>
      <c r="B297" s="1">
        <v>23439</v>
      </c>
      <c r="C297" t="s">
        <v>1712</v>
      </c>
      <c r="D297" t="s">
        <v>1713</v>
      </c>
      <c r="E297" t="s">
        <v>1714</v>
      </c>
      <c r="F297" s="1">
        <v>8637</v>
      </c>
      <c r="G297">
        <v>5</v>
      </c>
      <c r="H297" t="s">
        <v>112</v>
      </c>
      <c r="I297" t="s">
        <v>17</v>
      </c>
      <c r="J297" t="s">
        <v>138</v>
      </c>
    </row>
    <row r="298" spans="1:10" x14ac:dyDescent="0.25">
      <c r="A298" t="s">
        <v>1715</v>
      </c>
      <c r="B298" s="1">
        <v>8197</v>
      </c>
      <c r="C298" t="s">
        <v>1716</v>
      </c>
      <c r="D298" t="s">
        <v>1717</v>
      </c>
      <c r="E298" t="s">
        <v>1718</v>
      </c>
      <c r="F298">
        <v>244</v>
      </c>
      <c r="G298">
        <v>3</v>
      </c>
      <c r="H298" t="s">
        <v>1719</v>
      </c>
      <c r="I298" t="s">
        <v>17</v>
      </c>
      <c r="J298" t="s">
        <v>138</v>
      </c>
    </row>
    <row r="299" spans="1:10" x14ac:dyDescent="0.25">
      <c r="A299" t="s">
        <v>1720</v>
      </c>
      <c r="B299" s="1">
        <v>1547</v>
      </c>
      <c r="C299" t="s">
        <v>1721</v>
      </c>
      <c r="D299" t="s">
        <v>1722</v>
      </c>
      <c r="E299" t="s">
        <v>1723</v>
      </c>
      <c r="F299" s="1">
        <v>1613</v>
      </c>
      <c r="G299">
        <v>2</v>
      </c>
      <c r="H299" t="s">
        <v>1724</v>
      </c>
      <c r="I299" t="s">
        <v>17</v>
      </c>
      <c r="J299" t="s">
        <v>138</v>
      </c>
    </row>
    <row r="300" spans="1:10" x14ac:dyDescent="0.25">
      <c r="A300" t="s">
        <v>1725</v>
      </c>
      <c r="B300" s="1">
        <v>8498</v>
      </c>
      <c r="C300" t="s">
        <v>1726</v>
      </c>
      <c r="D300" t="s">
        <v>1727</v>
      </c>
      <c r="E300" t="s">
        <v>1728</v>
      </c>
      <c r="F300" s="1">
        <v>1715</v>
      </c>
      <c r="G300">
        <v>7</v>
      </c>
      <c r="H300" t="s">
        <v>1729</v>
      </c>
      <c r="I300" t="s">
        <v>17</v>
      </c>
      <c r="J300" t="s">
        <v>138</v>
      </c>
    </row>
    <row r="301" spans="1:10" x14ac:dyDescent="0.25">
      <c r="A301" t="s">
        <v>1730</v>
      </c>
      <c r="B301">
        <v>258</v>
      </c>
      <c r="C301" t="s">
        <v>1731</v>
      </c>
      <c r="D301" t="s">
        <v>1732</v>
      </c>
      <c r="E301" t="s">
        <v>1733</v>
      </c>
      <c r="F301">
        <v>198</v>
      </c>
      <c r="G301">
        <v>2</v>
      </c>
      <c r="H301" t="s">
        <v>1734</v>
      </c>
      <c r="I301" t="s">
        <v>91</v>
      </c>
      <c r="J301" t="s">
        <v>138</v>
      </c>
    </row>
    <row r="302" spans="1:10" x14ac:dyDescent="0.25">
      <c r="A302" t="s">
        <v>1735</v>
      </c>
      <c r="B302" s="1">
        <v>1446</v>
      </c>
      <c r="C302" t="s">
        <v>1736</v>
      </c>
      <c r="D302" t="s">
        <v>1737</v>
      </c>
      <c r="E302" t="s">
        <v>1738</v>
      </c>
      <c r="F302" s="1">
        <v>3622</v>
      </c>
      <c r="G302">
        <v>1</v>
      </c>
      <c r="H302" t="s">
        <v>1739</v>
      </c>
      <c r="I302" t="s">
        <v>17</v>
      </c>
      <c r="J302" t="s">
        <v>138</v>
      </c>
    </row>
    <row r="303" spans="1:10" x14ac:dyDescent="0.25">
      <c r="A303" t="s">
        <v>1740</v>
      </c>
      <c r="B303" s="1">
        <v>2795</v>
      </c>
      <c r="C303" t="s">
        <v>1741</v>
      </c>
      <c r="D303" t="s">
        <v>1742</v>
      </c>
      <c r="E303" t="s">
        <v>1743</v>
      </c>
      <c r="F303">
        <v>875</v>
      </c>
      <c r="G303">
        <v>1</v>
      </c>
      <c r="H303" t="s">
        <v>1744</v>
      </c>
      <c r="I303" t="s">
        <v>17</v>
      </c>
      <c r="J303" t="s">
        <v>138</v>
      </c>
    </row>
    <row r="304" spans="1:10" x14ac:dyDescent="0.25">
      <c r="A304" t="s">
        <v>1745</v>
      </c>
      <c r="B304" s="1">
        <v>4299</v>
      </c>
      <c r="C304" t="s">
        <v>1746</v>
      </c>
      <c r="D304" t="s">
        <v>1747</v>
      </c>
      <c r="E304" t="s">
        <v>1748</v>
      </c>
      <c r="F304" s="1">
        <v>7321</v>
      </c>
      <c r="G304">
        <v>3</v>
      </c>
      <c r="H304" t="s">
        <v>1749</v>
      </c>
      <c r="I304" t="s">
        <v>17</v>
      </c>
      <c r="J304" t="s">
        <v>138</v>
      </c>
    </row>
    <row r="305" spans="1:10" x14ac:dyDescent="0.25">
      <c r="A305" t="s">
        <v>1750</v>
      </c>
      <c r="B305" s="1">
        <v>17191</v>
      </c>
      <c r="C305" t="s">
        <v>1751</v>
      </c>
      <c r="D305" t="s">
        <v>1752</v>
      </c>
      <c r="E305" t="s">
        <v>1753</v>
      </c>
      <c r="F305">
        <v>103</v>
      </c>
      <c r="G305">
        <v>6</v>
      </c>
      <c r="H305" t="s">
        <v>1754</v>
      </c>
      <c r="I305" t="s">
        <v>17</v>
      </c>
      <c r="J305" t="s">
        <v>138</v>
      </c>
    </row>
    <row r="306" spans="1:10" x14ac:dyDescent="0.25">
      <c r="A306" t="s">
        <v>1755</v>
      </c>
      <c r="B306" s="1">
        <v>3445</v>
      </c>
      <c r="C306" t="s">
        <v>1756</v>
      </c>
      <c r="D306" t="s">
        <v>1757</v>
      </c>
      <c r="E306" t="s">
        <v>1758</v>
      </c>
      <c r="F306">
        <v>508</v>
      </c>
      <c r="G306">
        <v>3</v>
      </c>
      <c r="H306" t="s">
        <v>1759</v>
      </c>
      <c r="I306" t="s">
        <v>17</v>
      </c>
      <c r="J306" t="s">
        <v>138</v>
      </c>
    </row>
    <row r="307" spans="1:10" x14ac:dyDescent="0.25">
      <c r="A307" t="s">
        <v>1760</v>
      </c>
      <c r="B307" s="1">
        <v>128286</v>
      </c>
      <c r="C307" t="s">
        <v>1761</v>
      </c>
      <c r="D307" t="s">
        <v>1762</v>
      </c>
      <c r="E307" t="s">
        <v>1763</v>
      </c>
      <c r="F307">
        <v>529</v>
      </c>
      <c r="G307">
        <v>2</v>
      </c>
      <c r="H307" t="s">
        <v>1764</v>
      </c>
      <c r="I307" t="s">
        <v>17</v>
      </c>
      <c r="J307" t="s">
        <v>138</v>
      </c>
    </row>
    <row r="308" spans="1:10" x14ac:dyDescent="0.25">
      <c r="A308" t="s">
        <v>1765</v>
      </c>
      <c r="B308" s="1">
        <v>35277</v>
      </c>
      <c r="C308" t="s">
        <v>1766</v>
      </c>
      <c r="D308" t="s">
        <v>1767</v>
      </c>
      <c r="E308" t="s">
        <v>1768</v>
      </c>
      <c r="F308">
        <v>292</v>
      </c>
      <c r="G308">
        <v>2</v>
      </c>
      <c r="H308" t="s">
        <v>1769</v>
      </c>
      <c r="I308" t="s">
        <v>17</v>
      </c>
      <c r="J308" t="s">
        <v>138</v>
      </c>
    </row>
    <row r="309" spans="1:10" x14ac:dyDescent="0.25">
      <c r="A309" t="s">
        <v>1770</v>
      </c>
      <c r="B309" s="1">
        <v>15696</v>
      </c>
      <c r="C309" t="s">
        <v>1771</v>
      </c>
      <c r="D309" t="s">
        <v>1772</v>
      </c>
      <c r="E309" t="s">
        <v>1773</v>
      </c>
      <c r="F309">
        <v>91</v>
      </c>
      <c r="G309">
        <v>1</v>
      </c>
      <c r="H309" t="s">
        <v>1083</v>
      </c>
      <c r="I309" t="s">
        <v>17</v>
      </c>
      <c r="J309" t="s">
        <v>138</v>
      </c>
    </row>
    <row r="310" spans="1:10" x14ac:dyDescent="0.25">
      <c r="A310" t="s">
        <v>1774</v>
      </c>
      <c r="B310">
        <v>500</v>
      </c>
      <c r="C310" t="s">
        <v>1775</v>
      </c>
      <c r="D310" t="s">
        <v>1776</v>
      </c>
      <c r="E310" t="s">
        <v>1777</v>
      </c>
      <c r="F310">
        <v>874</v>
      </c>
      <c r="G310">
        <v>1</v>
      </c>
      <c r="H310" t="s">
        <v>1778</v>
      </c>
      <c r="I310" t="s">
        <v>17</v>
      </c>
      <c r="J310" t="s">
        <v>138</v>
      </c>
    </row>
    <row r="311" spans="1:10" x14ac:dyDescent="0.25">
      <c r="A311" t="s">
        <v>1779</v>
      </c>
      <c r="B311" s="1">
        <v>3419</v>
      </c>
      <c r="C311" t="s">
        <v>1780</v>
      </c>
      <c r="D311" t="s">
        <v>1781</v>
      </c>
      <c r="E311" t="s">
        <v>1782</v>
      </c>
      <c r="F311">
        <v>401</v>
      </c>
      <c r="G311">
        <v>3</v>
      </c>
      <c r="H311" t="s">
        <v>1783</v>
      </c>
      <c r="I311" t="s">
        <v>17</v>
      </c>
      <c r="J311" t="s">
        <v>138</v>
      </c>
    </row>
    <row r="312" spans="1:10" x14ac:dyDescent="0.25">
      <c r="A312" t="s">
        <v>1784</v>
      </c>
      <c r="B312" s="1">
        <v>16641</v>
      </c>
      <c r="C312" t="s">
        <v>1785</v>
      </c>
      <c r="D312" t="s">
        <v>1786</v>
      </c>
      <c r="E312" t="s">
        <v>1787</v>
      </c>
      <c r="F312" s="1">
        <v>1658</v>
      </c>
      <c r="G312">
        <v>4</v>
      </c>
      <c r="H312" t="s">
        <v>1788</v>
      </c>
      <c r="I312" t="s">
        <v>17</v>
      </c>
      <c r="J312" t="s">
        <v>138</v>
      </c>
    </row>
    <row r="313" spans="1:10" x14ac:dyDescent="0.25">
      <c r="A313" t="s">
        <v>1789</v>
      </c>
      <c r="B313" s="1">
        <v>74977</v>
      </c>
      <c r="C313" t="s">
        <v>1790</v>
      </c>
      <c r="D313" t="s">
        <v>1791</v>
      </c>
      <c r="E313" t="s">
        <v>1792</v>
      </c>
      <c r="F313">
        <v>459</v>
      </c>
      <c r="G313">
        <v>14</v>
      </c>
      <c r="H313" t="s">
        <v>1793</v>
      </c>
      <c r="I313" t="s">
        <v>17</v>
      </c>
      <c r="J313" t="s">
        <v>138</v>
      </c>
    </row>
    <row r="314" spans="1:10" x14ac:dyDescent="0.25">
      <c r="A314" t="s">
        <v>1794</v>
      </c>
      <c r="B314" s="1">
        <v>9294</v>
      </c>
      <c r="C314" t="s">
        <v>1795</v>
      </c>
      <c r="D314" t="s">
        <v>1796</v>
      </c>
      <c r="E314" t="s">
        <v>1797</v>
      </c>
      <c r="F314">
        <v>433</v>
      </c>
      <c r="G314">
        <v>3</v>
      </c>
      <c r="H314" t="s">
        <v>1798</v>
      </c>
      <c r="I314" t="s">
        <v>17</v>
      </c>
      <c r="J314" t="s">
        <v>138</v>
      </c>
    </row>
    <row r="315" spans="1:10" x14ac:dyDescent="0.25">
      <c r="A315" t="s">
        <v>1799</v>
      </c>
      <c r="B315" s="1">
        <v>9492</v>
      </c>
      <c r="C315" t="s">
        <v>1800</v>
      </c>
      <c r="D315" t="s">
        <v>1801</v>
      </c>
      <c r="E315" t="s">
        <v>1802</v>
      </c>
      <c r="F315">
        <v>313</v>
      </c>
      <c r="G315">
        <v>3</v>
      </c>
      <c r="H315" t="s">
        <v>1803</v>
      </c>
      <c r="I315" t="s">
        <v>17</v>
      </c>
      <c r="J315" t="s">
        <v>138</v>
      </c>
    </row>
    <row r="316" spans="1:10" x14ac:dyDescent="0.25">
      <c r="A316" t="s">
        <v>1804</v>
      </c>
      <c r="B316" s="1">
        <v>9582</v>
      </c>
      <c r="C316" t="s">
        <v>1805</v>
      </c>
      <c r="D316" t="s">
        <v>1806</v>
      </c>
      <c r="E316" t="s">
        <v>1807</v>
      </c>
      <c r="F316">
        <v>823</v>
      </c>
      <c r="G316">
        <v>4</v>
      </c>
      <c r="H316" t="s">
        <v>1808</v>
      </c>
      <c r="I316" t="s">
        <v>17</v>
      </c>
      <c r="J316" t="s">
        <v>138</v>
      </c>
    </row>
    <row r="317" spans="1:10" x14ac:dyDescent="0.25">
      <c r="A317" t="s">
        <v>1809</v>
      </c>
      <c r="B317" s="1">
        <v>4615</v>
      </c>
      <c r="C317" t="s">
        <v>1810</v>
      </c>
      <c r="D317" t="s">
        <v>1811</v>
      </c>
      <c r="E317" t="s">
        <v>1812</v>
      </c>
      <c r="F317">
        <v>139</v>
      </c>
      <c r="G317">
        <v>1</v>
      </c>
      <c r="H317" t="s">
        <v>1813</v>
      </c>
      <c r="I317" t="s">
        <v>17</v>
      </c>
      <c r="J317" t="s">
        <v>138</v>
      </c>
    </row>
    <row r="318" spans="1:10" x14ac:dyDescent="0.25">
      <c r="A318" t="s">
        <v>1814</v>
      </c>
      <c r="B318" s="1">
        <v>21854</v>
      </c>
      <c r="C318" t="s">
        <v>1815</v>
      </c>
      <c r="D318" t="s">
        <v>1816</v>
      </c>
      <c r="E318" t="s">
        <v>1817</v>
      </c>
      <c r="F318">
        <v>121</v>
      </c>
      <c r="G318">
        <v>3</v>
      </c>
      <c r="H318" t="s">
        <v>1818</v>
      </c>
      <c r="I318" t="s">
        <v>17</v>
      </c>
      <c r="J318" t="s">
        <v>138</v>
      </c>
    </row>
    <row r="319" spans="1:10" x14ac:dyDescent="0.25">
      <c r="A319" t="s">
        <v>1819</v>
      </c>
      <c r="B319" s="1">
        <v>157383</v>
      </c>
      <c r="C319" t="s">
        <v>1820</v>
      </c>
      <c r="D319" t="s">
        <v>1821</v>
      </c>
      <c r="E319" t="s">
        <v>1822</v>
      </c>
      <c r="F319" s="1">
        <v>1414</v>
      </c>
      <c r="G319">
        <v>9</v>
      </c>
      <c r="H319" t="s">
        <v>1823</v>
      </c>
      <c r="I319" t="s">
        <v>17</v>
      </c>
      <c r="J319" t="s">
        <v>138</v>
      </c>
    </row>
    <row r="320" spans="1:10" x14ac:dyDescent="0.25">
      <c r="A320" t="s">
        <v>1824</v>
      </c>
      <c r="B320">
        <v>742</v>
      </c>
      <c r="C320" t="s">
        <v>1825</v>
      </c>
      <c r="D320" t="s">
        <v>1826</v>
      </c>
      <c r="E320" t="s">
        <v>1827</v>
      </c>
      <c r="F320" s="1">
        <v>6426</v>
      </c>
      <c r="G320">
        <v>2</v>
      </c>
      <c r="H320" t="s">
        <v>1828</v>
      </c>
      <c r="I320" t="s">
        <v>17</v>
      </c>
      <c r="J320" t="s">
        <v>138</v>
      </c>
    </row>
    <row r="321" spans="1:10" x14ac:dyDescent="0.25">
      <c r="A321" t="s">
        <v>1829</v>
      </c>
      <c r="B321" s="1">
        <v>7471</v>
      </c>
      <c r="C321" t="s">
        <v>1830</v>
      </c>
      <c r="D321" t="s">
        <v>1831</v>
      </c>
      <c r="E321" t="s">
        <v>1832</v>
      </c>
      <c r="F321" s="1">
        <v>5885</v>
      </c>
      <c r="G321">
        <v>4</v>
      </c>
      <c r="H321" t="s">
        <v>1833</v>
      </c>
      <c r="I321" t="s">
        <v>91</v>
      </c>
      <c r="J321" t="s">
        <v>138</v>
      </c>
    </row>
    <row r="322" spans="1:10" x14ac:dyDescent="0.25">
      <c r="A322" t="s">
        <v>1834</v>
      </c>
      <c r="B322" s="1">
        <v>13476</v>
      </c>
      <c r="C322" t="s">
        <v>1835</v>
      </c>
      <c r="D322" t="s">
        <v>1836</v>
      </c>
      <c r="E322" t="s">
        <v>1837</v>
      </c>
      <c r="F322">
        <v>795</v>
      </c>
      <c r="G322">
        <v>3</v>
      </c>
      <c r="H322" t="s">
        <v>1838</v>
      </c>
      <c r="I322" t="s">
        <v>17</v>
      </c>
      <c r="J322" t="s">
        <v>138</v>
      </c>
    </row>
    <row r="323" spans="1:10" x14ac:dyDescent="0.25">
      <c r="A323" t="s">
        <v>1839</v>
      </c>
      <c r="B323" s="1">
        <v>56083</v>
      </c>
      <c r="C323" t="s">
        <v>1840</v>
      </c>
      <c r="D323" t="s">
        <v>1841</v>
      </c>
      <c r="E323" t="s">
        <v>1842</v>
      </c>
      <c r="F323" s="1">
        <v>6458</v>
      </c>
      <c r="G323">
        <v>6</v>
      </c>
      <c r="H323" t="s">
        <v>148</v>
      </c>
      <c r="I323" t="s">
        <v>17</v>
      </c>
      <c r="J323" t="s">
        <v>138</v>
      </c>
    </row>
    <row r="324" spans="1:10" x14ac:dyDescent="0.25">
      <c r="A324" t="s">
        <v>1843</v>
      </c>
      <c r="B324" s="1">
        <v>3367</v>
      </c>
      <c r="C324" t="s">
        <v>1844</v>
      </c>
      <c r="D324" t="s">
        <v>1845</v>
      </c>
      <c r="E324" t="s">
        <v>1846</v>
      </c>
      <c r="F324">
        <v>666</v>
      </c>
      <c r="G324">
        <v>3</v>
      </c>
      <c r="H324" t="s">
        <v>1847</v>
      </c>
      <c r="I324" t="s">
        <v>17</v>
      </c>
      <c r="J324" t="s">
        <v>138</v>
      </c>
    </row>
    <row r="325" spans="1:10" x14ac:dyDescent="0.25">
      <c r="A325" t="s">
        <v>1848</v>
      </c>
      <c r="B325" s="1">
        <v>14501</v>
      </c>
      <c r="C325" t="s">
        <v>1849</v>
      </c>
      <c r="D325" t="s">
        <v>1850</v>
      </c>
      <c r="E325" t="s">
        <v>1851</v>
      </c>
      <c r="F325" s="1">
        <v>6706</v>
      </c>
      <c r="G325">
        <v>4</v>
      </c>
      <c r="H325" t="s">
        <v>1852</v>
      </c>
      <c r="I325" t="s">
        <v>17</v>
      </c>
      <c r="J325" t="s">
        <v>138</v>
      </c>
    </row>
    <row r="326" spans="1:10" x14ac:dyDescent="0.25">
      <c r="A326" t="s">
        <v>1853</v>
      </c>
      <c r="B326" s="1">
        <v>32398</v>
      </c>
      <c r="C326" t="s">
        <v>1854</v>
      </c>
      <c r="D326" t="s">
        <v>1855</v>
      </c>
      <c r="E326" t="s">
        <v>1856</v>
      </c>
      <c r="F326" s="1">
        <v>1212</v>
      </c>
      <c r="G326">
        <v>2</v>
      </c>
      <c r="H326" t="s">
        <v>1857</v>
      </c>
      <c r="I326" t="s">
        <v>17</v>
      </c>
      <c r="J326" t="s">
        <v>138</v>
      </c>
    </row>
    <row r="327" spans="1:10" x14ac:dyDescent="0.25">
      <c r="A327" t="s">
        <v>97</v>
      </c>
      <c r="B327" s="1">
        <v>2376</v>
      </c>
      <c r="C327" t="s">
        <v>98</v>
      </c>
      <c r="D327" t="s">
        <v>99</v>
      </c>
      <c r="E327" t="s">
        <v>100</v>
      </c>
      <c r="F327" s="1">
        <v>11982</v>
      </c>
      <c r="G327">
        <v>2</v>
      </c>
      <c r="H327" t="s">
        <v>101</v>
      </c>
      <c r="I327" t="s">
        <v>17</v>
      </c>
      <c r="J327" t="s">
        <v>102</v>
      </c>
    </row>
    <row r="328" spans="1:10" x14ac:dyDescent="0.25">
      <c r="A328" t="s">
        <v>139</v>
      </c>
      <c r="B328" s="1">
        <v>1323</v>
      </c>
      <c r="C328" t="s">
        <v>140</v>
      </c>
      <c r="D328" t="s">
        <v>141</v>
      </c>
      <c r="E328" t="s">
        <v>142</v>
      </c>
      <c r="F328" s="1">
        <v>13197</v>
      </c>
      <c r="G328">
        <v>2</v>
      </c>
      <c r="H328" t="s">
        <v>143</v>
      </c>
      <c r="I328" t="s">
        <v>17</v>
      </c>
      <c r="J328" t="s">
        <v>102</v>
      </c>
    </row>
    <row r="329" spans="1:10" x14ac:dyDescent="0.25">
      <c r="A329" t="s">
        <v>205</v>
      </c>
      <c r="B329" s="1">
        <v>4532</v>
      </c>
      <c r="C329" t="s">
        <v>206</v>
      </c>
      <c r="D329" t="s">
        <v>207</v>
      </c>
      <c r="E329" t="s">
        <v>208</v>
      </c>
      <c r="F329" s="1">
        <v>17027</v>
      </c>
      <c r="G329">
        <v>1</v>
      </c>
      <c r="H329" t="s">
        <v>209</v>
      </c>
      <c r="I329" t="s">
        <v>174</v>
      </c>
      <c r="J329" t="s">
        <v>102</v>
      </c>
    </row>
    <row r="330" spans="1:10" x14ac:dyDescent="0.25">
      <c r="A330" t="s">
        <v>427</v>
      </c>
      <c r="B330" s="1">
        <v>2074</v>
      </c>
      <c r="C330" t="s">
        <v>428</v>
      </c>
      <c r="D330" t="s">
        <v>429</v>
      </c>
      <c r="E330" t="s">
        <v>430</v>
      </c>
      <c r="F330" s="1">
        <v>47740</v>
      </c>
      <c r="G330">
        <v>2</v>
      </c>
      <c r="H330" t="s">
        <v>431</v>
      </c>
      <c r="I330" t="s">
        <v>17</v>
      </c>
      <c r="J330" t="s">
        <v>102</v>
      </c>
    </row>
    <row r="331" spans="1:10" x14ac:dyDescent="0.25">
      <c r="A331" t="s">
        <v>1858</v>
      </c>
      <c r="B331" s="1">
        <v>3373</v>
      </c>
      <c r="C331" t="s">
        <v>1859</v>
      </c>
      <c r="D331" t="s">
        <v>1860</v>
      </c>
      <c r="E331" t="s">
        <v>1861</v>
      </c>
      <c r="F331">
        <v>752</v>
      </c>
      <c r="G331">
        <v>2</v>
      </c>
      <c r="H331" t="s">
        <v>1862</v>
      </c>
      <c r="I331" t="s">
        <v>17</v>
      </c>
      <c r="J331" t="s">
        <v>102</v>
      </c>
    </row>
    <row r="332" spans="1:10" x14ac:dyDescent="0.25">
      <c r="A332" t="s">
        <v>1863</v>
      </c>
      <c r="B332" s="1">
        <v>1724</v>
      </c>
      <c r="C332" t="s">
        <v>1864</v>
      </c>
      <c r="D332" t="s">
        <v>1865</v>
      </c>
      <c r="E332" t="s">
        <v>1866</v>
      </c>
      <c r="F332">
        <v>125</v>
      </c>
      <c r="G332">
        <v>1</v>
      </c>
      <c r="H332" t="s">
        <v>1867</v>
      </c>
      <c r="I332" t="s">
        <v>17</v>
      </c>
      <c r="J332" t="s">
        <v>102</v>
      </c>
    </row>
    <row r="333" spans="1:10" x14ac:dyDescent="0.25">
      <c r="A333" t="s">
        <v>1868</v>
      </c>
      <c r="B333" s="1">
        <v>9958</v>
      </c>
      <c r="C333" t="s">
        <v>1869</v>
      </c>
      <c r="D333" t="s">
        <v>1870</v>
      </c>
      <c r="E333" t="s">
        <v>1871</v>
      </c>
      <c r="F333">
        <v>812</v>
      </c>
      <c r="G333">
        <v>2</v>
      </c>
      <c r="H333" t="s">
        <v>1872</v>
      </c>
      <c r="I333" t="s">
        <v>17</v>
      </c>
      <c r="J333" t="s">
        <v>102</v>
      </c>
    </row>
    <row r="334" spans="1:10" x14ac:dyDescent="0.25">
      <c r="A334" t="s">
        <v>1873</v>
      </c>
      <c r="B334">
        <v>742</v>
      </c>
      <c r="C334" t="s">
        <v>1874</v>
      </c>
      <c r="D334" t="s">
        <v>1875</v>
      </c>
      <c r="E334" t="s">
        <v>1876</v>
      </c>
      <c r="F334">
        <v>698</v>
      </c>
      <c r="G334">
        <v>1</v>
      </c>
      <c r="H334" t="s">
        <v>1877</v>
      </c>
      <c r="I334" t="s">
        <v>17</v>
      </c>
      <c r="J334" t="s">
        <v>102</v>
      </c>
    </row>
    <row r="335" spans="1:10" x14ac:dyDescent="0.25">
      <c r="A335" t="s">
        <v>1878</v>
      </c>
      <c r="B335" s="1">
        <v>1104</v>
      </c>
      <c r="C335" t="s">
        <v>1879</v>
      </c>
      <c r="D335" t="s">
        <v>1880</v>
      </c>
      <c r="E335" t="s">
        <v>1881</v>
      </c>
      <c r="F335" s="1">
        <v>5841</v>
      </c>
      <c r="G335">
        <v>1</v>
      </c>
      <c r="H335" t="s">
        <v>1882</v>
      </c>
      <c r="I335" t="s">
        <v>17</v>
      </c>
      <c r="J335" t="s">
        <v>102</v>
      </c>
    </row>
    <row r="336" spans="1:10" x14ac:dyDescent="0.25">
      <c r="A336" t="s">
        <v>1883</v>
      </c>
      <c r="B336">
        <v>472</v>
      </c>
      <c r="C336" t="s">
        <v>1884</v>
      </c>
      <c r="D336" t="s">
        <v>1885</v>
      </c>
      <c r="E336" t="s">
        <v>1886</v>
      </c>
      <c r="F336">
        <v>73</v>
      </c>
      <c r="G336">
        <v>1</v>
      </c>
      <c r="H336" t="s">
        <v>1887</v>
      </c>
      <c r="I336" t="s">
        <v>17</v>
      </c>
      <c r="J336" t="s">
        <v>102</v>
      </c>
    </row>
    <row r="337" spans="1:12" x14ac:dyDescent="0.25">
      <c r="A337" t="s">
        <v>12</v>
      </c>
      <c r="B337">
        <v>469</v>
      </c>
      <c r="C337" t="s">
        <v>13</v>
      </c>
      <c r="D337" t="s">
        <v>14</v>
      </c>
      <c r="E337" t="s">
        <v>15</v>
      </c>
      <c r="F337" s="1">
        <v>10072</v>
      </c>
      <c r="G337">
        <v>2</v>
      </c>
      <c r="H337" t="s">
        <v>16</v>
      </c>
      <c r="I337" t="s">
        <v>17</v>
      </c>
      <c r="J337" t="s">
        <v>18</v>
      </c>
      <c r="K337" t="s">
        <v>19</v>
      </c>
    </row>
    <row r="338" spans="1:12" x14ac:dyDescent="0.25">
      <c r="A338" t="s">
        <v>20</v>
      </c>
      <c r="B338" s="1">
        <v>648155</v>
      </c>
      <c r="C338" t="s">
        <v>21</v>
      </c>
      <c r="D338" t="s">
        <v>22</v>
      </c>
      <c r="E338" t="s">
        <v>23</v>
      </c>
      <c r="F338" s="1">
        <v>10261</v>
      </c>
      <c r="G338">
        <v>9</v>
      </c>
      <c r="H338" t="s">
        <v>24</v>
      </c>
      <c r="I338" t="s">
        <v>17</v>
      </c>
      <c r="J338" t="s">
        <v>18</v>
      </c>
      <c r="K338" t="s">
        <v>19</v>
      </c>
    </row>
    <row r="339" spans="1:12" x14ac:dyDescent="0.25">
      <c r="A339" t="s">
        <v>38</v>
      </c>
      <c r="B339" s="1">
        <v>2696</v>
      </c>
      <c r="C339" t="s">
        <v>39</v>
      </c>
      <c r="D339" t="s">
        <v>40</v>
      </c>
      <c r="E339" t="s">
        <v>41</v>
      </c>
      <c r="F339" s="1">
        <v>10402</v>
      </c>
      <c r="G339">
        <v>1</v>
      </c>
      <c r="H339" t="s">
        <v>42</v>
      </c>
      <c r="I339" t="s">
        <v>17</v>
      </c>
      <c r="J339" t="s">
        <v>18</v>
      </c>
      <c r="K339" t="s">
        <v>43</v>
      </c>
      <c r="L339" t="s">
        <v>44</v>
      </c>
    </row>
    <row r="340" spans="1:12" x14ac:dyDescent="0.25">
      <c r="A340" t="s">
        <v>61</v>
      </c>
      <c r="B340" s="1">
        <v>2383</v>
      </c>
      <c r="C340" t="s">
        <v>62</v>
      </c>
      <c r="D340" t="s">
        <v>63</v>
      </c>
      <c r="E340" t="s">
        <v>64</v>
      </c>
      <c r="F340" s="1">
        <v>10857</v>
      </c>
      <c r="G340">
        <v>2</v>
      </c>
      <c r="H340" t="s">
        <v>65</v>
      </c>
      <c r="I340" t="s">
        <v>17</v>
      </c>
      <c r="J340" t="s">
        <v>18</v>
      </c>
      <c r="K340" t="s">
        <v>43</v>
      </c>
      <c r="L340" t="s">
        <v>44</v>
      </c>
    </row>
    <row r="341" spans="1:12" x14ac:dyDescent="0.25">
      <c r="A341" t="s">
        <v>76</v>
      </c>
      <c r="B341">
        <v>924</v>
      </c>
      <c r="C341" t="s">
        <v>77</v>
      </c>
      <c r="D341" t="s">
        <v>78</v>
      </c>
      <c r="E341" t="s">
        <v>79</v>
      </c>
      <c r="F341" s="1">
        <v>11294</v>
      </c>
      <c r="G341">
        <v>1</v>
      </c>
      <c r="H341" t="s">
        <v>80</v>
      </c>
      <c r="I341" t="s">
        <v>17</v>
      </c>
      <c r="J341" t="s">
        <v>18</v>
      </c>
      <c r="K341" t="s">
        <v>43</v>
      </c>
      <c r="L341" t="s">
        <v>44</v>
      </c>
    </row>
    <row r="342" spans="1:12" x14ac:dyDescent="0.25">
      <c r="A342" t="s">
        <v>86</v>
      </c>
      <c r="B342">
        <v>641</v>
      </c>
      <c r="C342" t="s">
        <v>87</v>
      </c>
      <c r="D342" t="s">
        <v>88</v>
      </c>
      <c r="E342" t="s">
        <v>89</v>
      </c>
      <c r="F342" s="1">
        <v>11772</v>
      </c>
      <c r="G342">
        <v>2</v>
      </c>
      <c r="H342" t="s">
        <v>90</v>
      </c>
      <c r="I342" t="s">
        <v>91</v>
      </c>
      <c r="J342" t="s">
        <v>18</v>
      </c>
      <c r="K342" t="s">
        <v>43</v>
      </c>
      <c r="L342" t="s">
        <v>44</v>
      </c>
    </row>
    <row r="343" spans="1:12" x14ac:dyDescent="0.25">
      <c r="A343" t="s">
        <v>92</v>
      </c>
      <c r="B343" s="1">
        <v>4422</v>
      </c>
      <c r="C343" t="s">
        <v>93</v>
      </c>
      <c r="D343" t="s">
        <v>94</v>
      </c>
      <c r="E343" t="s">
        <v>95</v>
      </c>
      <c r="F343" s="1">
        <v>11875</v>
      </c>
      <c r="G343">
        <v>4</v>
      </c>
      <c r="H343" t="s">
        <v>96</v>
      </c>
      <c r="I343" t="s">
        <v>17</v>
      </c>
      <c r="J343" t="s">
        <v>18</v>
      </c>
      <c r="K343" t="s">
        <v>19</v>
      </c>
    </row>
    <row r="344" spans="1:12" x14ac:dyDescent="0.25">
      <c r="A344" t="s">
        <v>108</v>
      </c>
      <c r="B344" s="1">
        <v>3941</v>
      </c>
      <c r="C344" t="s">
        <v>109</v>
      </c>
      <c r="D344" t="s">
        <v>110</v>
      </c>
      <c r="E344" t="s">
        <v>111</v>
      </c>
      <c r="F344" s="1">
        <v>12284</v>
      </c>
      <c r="G344">
        <v>2</v>
      </c>
      <c r="H344" t="s">
        <v>112</v>
      </c>
      <c r="I344" t="s">
        <v>17</v>
      </c>
      <c r="J344" t="s">
        <v>18</v>
      </c>
      <c r="K344" t="s">
        <v>19</v>
      </c>
    </row>
    <row r="345" spans="1:12" x14ac:dyDescent="0.25">
      <c r="A345" t="s">
        <v>144</v>
      </c>
      <c r="B345" s="1">
        <v>130090</v>
      </c>
      <c r="C345" t="s">
        <v>145</v>
      </c>
      <c r="D345" t="s">
        <v>146</v>
      </c>
      <c r="E345" t="s">
        <v>147</v>
      </c>
      <c r="F345" s="1">
        <v>13372</v>
      </c>
      <c r="G345">
        <v>7</v>
      </c>
      <c r="H345" t="s">
        <v>148</v>
      </c>
      <c r="I345" t="s">
        <v>17</v>
      </c>
      <c r="J345" t="s">
        <v>18</v>
      </c>
      <c r="K345" t="s">
        <v>19</v>
      </c>
    </row>
    <row r="346" spans="1:12" x14ac:dyDescent="0.25">
      <c r="A346" t="s">
        <v>154</v>
      </c>
      <c r="B346" s="1">
        <v>2658</v>
      </c>
      <c r="C346" t="s">
        <v>155</v>
      </c>
      <c r="D346" t="s">
        <v>156</v>
      </c>
      <c r="E346" t="s">
        <v>157</v>
      </c>
      <c r="F346" s="1">
        <v>13922</v>
      </c>
      <c r="G346">
        <v>6</v>
      </c>
      <c r="H346" t="s">
        <v>158</v>
      </c>
      <c r="I346" t="s">
        <v>91</v>
      </c>
      <c r="J346" t="s">
        <v>18</v>
      </c>
      <c r="K346" t="s">
        <v>19</v>
      </c>
    </row>
    <row r="347" spans="1:12" x14ac:dyDescent="0.25">
      <c r="A347" t="s">
        <v>175</v>
      </c>
      <c r="B347" s="1">
        <v>13939</v>
      </c>
      <c r="C347" t="s">
        <v>176</v>
      </c>
      <c r="D347" t="s">
        <v>177</v>
      </c>
      <c r="E347" t="s">
        <v>178</v>
      </c>
      <c r="F347" s="1">
        <v>14961</v>
      </c>
      <c r="G347">
        <v>2</v>
      </c>
      <c r="H347" t="s">
        <v>179</v>
      </c>
      <c r="I347" t="s">
        <v>17</v>
      </c>
      <c r="J347" t="s">
        <v>18</v>
      </c>
      <c r="K347" t="s">
        <v>19</v>
      </c>
    </row>
    <row r="348" spans="1:12" x14ac:dyDescent="0.25">
      <c r="A348" t="s">
        <v>190</v>
      </c>
      <c r="B348" s="1">
        <v>4696</v>
      </c>
      <c r="C348" t="s">
        <v>191</v>
      </c>
      <c r="D348" t="s">
        <v>192</v>
      </c>
      <c r="E348" t="s">
        <v>193</v>
      </c>
      <c r="F348" s="1">
        <v>15695</v>
      </c>
      <c r="G348">
        <v>6</v>
      </c>
      <c r="H348" t="s">
        <v>194</v>
      </c>
      <c r="I348" t="s">
        <v>91</v>
      </c>
      <c r="J348" t="s">
        <v>18</v>
      </c>
      <c r="K348" t="s">
        <v>19</v>
      </c>
    </row>
    <row r="349" spans="1:12" x14ac:dyDescent="0.25">
      <c r="A349" t="s">
        <v>210</v>
      </c>
      <c r="B349" s="1">
        <v>12418</v>
      </c>
      <c r="C349" t="s">
        <v>211</v>
      </c>
      <c r="D349" t="s">
        <v>212</v>
      </c>
      <c r="E349" t="s">
        <v>213</v>
      </c>
      <c r="F349" s="1">
        <v>17063</v>
      </c>
      <c r="G349">
        <v>2</v>
      </c>
      <c r="H349" t="s">
        <v>214</v>
      </c>
      <c r="I349" t="s">
        <v>91</v>
      </c>
      <c r="J349" t="s">
        <v>18</v>
      </c>
      <c r="K349" t="s">
        <v>19</v>
      </c>
    </row>
    <row r="350" spans="1:12" x14ac:dyDescent="0.25">
      <c r="A350" t="s">
        <v>237</v>
      </c>
      <c r="B350" s="1">
        <v>5673</v>
      </c>
      <c r="C350" t="s">
        <v>238</v>
      </c>
      <c r="D350" t="s">
        <v>239</v>
      </c>
      <c r="E350" t="s">
        <v>240</v>
      </c>
      <c r="F350" s="1">
        <v>18455</v>
      </c>
      <c r="G350">
        <v>5</v>
      </c>
      <c r="H350" t="s">
        <v>241</v>
      </c>
      <c r="I350" t="s">
        <v>91</v>
      </c>
      <c r="J350" t="s">
        <v>18</v>
      </c>
      <c r="K350" t="s">
        <v>19</v>
      </c>
    </row>
    <row r="351" spans="1:12" x14ac:dyDescent="0.25">
      <c r="A351" t="s">
        <v>242</v>
      </c>
      <c r="B351" s="1">
        <v>1018</v>
      </c>
      <c r="C351" t="s">
        <v>243</v>
      </c>
      <c r="D351" t="s">
        <v>244</v>
      </c>
      <c r="E351" t="s">
        <v>245</v>
      </c>
      <c r="F351" s="1">
        <v>19011</v>
      </c>
      <c r="G351">
        <v>1</v>
      </c>
      <c r="H351" t="s">
        <v>246</v>
      </c>
      <c r="I351" t="s">
        <v>17</v>
      </c>
      <c r="J351" t="s">
        <v>18</v>
      </c>
      <c r="K351" t="s">
        <v>19</v>
      </c>
    </row>
    <row r="352" spans="1:12" x14ac:dyDescent="0.25">
      <c r="A352" t="s">
        <v>247</v>
      </c>
      <c r="B352" s="1">
        <v>18106</v>
      </c>
      <c r="C352" t="s">
        <v>248</v>
      </c>
      <c r="D352" t="s">
        <v>249</v>
      </c>
      <c r="E352" t="s">
        <v>250</v>
      </c>
      <c r="F352" s="1">
        <v>19437</v>
      </c>
      <c r="G352">
        <v>4</v>
      </c>
      <c r="H352" t="s">
        <v>251</v>
      </c>
      <c r="I352" t="s">
        <v>17</v>
      </c>
      <c r="J352" t="s">
        <v>18</v>
      </c>
      <c r="K352" t="s">
        <v>43</v>
      </c>
      <c r="L352" t="s">
        <v>44</v>
      </c>
    </row>
    <row r="353" spans="1:12" x14ac:dyDescent="0.25">
      <c r="A353" t="s">
        <v>277</v>
      </c>
      <c r="B353" s="1">
        <v>65739</v>
      </c>
      <c r="C353" t="s">
        <v>278</v>
      </c>
      <c r="D353" t="s">
        <v>279</v>
      </c>
      <c r="E353" t="s">
        <v>280</v>
      </c>
      <c r="F353" s="1">
        <v>21839</v>
      </c>
      <c r="G353">
        <v>4</v>
      </c>
      <c r="H353" t="s">
        <v>281</v>
      </c>
      <c r="I353" t="s">
        <v>17</v>
      </c>
      <c r="J353" t="s">
        <v>18</v>
      </c>
      <c r="K353" t="s">
        <v>43</v>
      </c>
      <c r="L353" t="s">
        <v>282</v>
      </c>
    </row>
    <row r="354" spans="1:12" x14ac:dyDescent="0.25">
      <c r="A354" t="s">
        <v>293</v>
      </c>
      <c r="B354" s="1">
        <v>6247</v>
      </c>
      <c r="C354" t="s">
        <v>294</v>
      </c>
      <c r="D354" t="s">
        <v>295</v>
      </c>
      <c r="E354" t="s">
        <v>291</v>
      </c>
      <c r="F354" s="1">
        <v>22922</v>
      </c>
      <c r="G354">
        <v>2</v>
      </c>
      <c r="H354" t="s">
        <v>296</v>
      </c>
      <c r="I354" t="s">
        <v>17</v>
      </c>
      <c r="J354" t="s">
        <v>18</v>
      </c>
      <c r="K354" t="s">
        <v>43</v>
      </c>
      <c r="L354" t="s">
        <v>44</v>
      </c>
    </row>
    <row r="355" spans="1:12" x14ac:dyDescent="0.25">
      <c r="A355" t="s">
        <v>307</v>
      </c>
      <c r="B355" s="1">
        <v>10943</v>
      </c>
      <c r="C355" t="s">
        <v>308</v>
      </c>
      <c r="D355" t="s">
        <v>309</v>
      </c>
      <c r="E355" t="s">
        <v>310</v>
      </c>
      <c r="F355" s="1">
        <v>23777</v>
      </c>
      <c r="G355">
        <v>4</v>
      </c>
      <c r="H355" t="s">
        <v>311</v>
      </c>
      <c r="I355" t="s">
        <v>17</v>
      </c>
      <c r="J355" t="s">
        <v>18</v>
      </c>
      <c r="K355" t="s">
        <v>19</v>
      </c>
    </row>
    <row r="356" spans="1:12" x14ac:dyDescent="0.25">
      <c r="A356" t="s">
        <v>322</v>
      </c>
      <c r="B356" s="1">
        <v>3237</v>
      </c>
      <c r="C356" t="s">
        <v>323</v>
      </c>
      <c r="D356" t="s">
        <v>324</v>
      </c>
      <c r="E356" t="s">
        <v>325</v>
      </c>
      <c r="F356" s="1">
        <v>25641</v>
      </c>
      <c r="G356">
        <v>4</v>
      </c>
      <c r="H356" t="s">
        <v>326</v>
      </c>
      <c r="I356" t="s">
        <v>91</v>
      </c>
      <c r="J356" t="s">
        <v>18</v>
      </c>
      <c r="K356" t="s">
        <v>19</v>
      </c>
    </row>
    <row r="357" spans="1:12" x14ac:dyDescent="0.25">
      <c r="A357" t="s">
        <v>327</v>
      </c>
      <c r="B357" s="1">
        <v>2659</v>
      </c>
      <c r="C357" t="s">
        <v>328</v>
      </c>
      <c r="D357" t="s">
        <v>329</v>
      </c>
      <c r="E357" t="s">
        <v>330</v>
      </c>
      <c r="F357" s="1">
        <v>26181</v>
      </c>
      <c r="G357">
        <v>1</v>
      </c>
      <c r="H357" t="s">
        <v>331</v>
      </c>
      <c r="I357" t="s">
        <v>91</v>
      </c>
      <c r="J357" t="s">
        <v>18</v>
      </c>
      <c r="K357" t="s">
        <v>19</v>
      </c>
    </row>
    <row r="358" spans="1:12" x14ac:dyDescent="0.25">
      <c r="A358" t="s">
        <v>346</v>
      </c>
      <c r="B358" s="1">
        <v>107712</v>
      </c>
      <c r="C358" t="s">
        <v>347</v>
      </c>
      <c r="D358" t="s">
        <v>348</v>
      </c>
      <c r="E358" t="s">
        <v>349</v>
      </c>
      <c r="F358" s="1">
        <v>26845</v>
      </c>
      <c r="G358">
        <v>11</v>
      </c>
      <c r="H358" t="s">
        <v>350</v>
      </c>
      <c r="I358" t="s">
        <v>91</v>
      </c>
      <c r="J358" t="s">
        <v>18</v>
      </c>
      <c r="K358" t="s">
        <v>19</v>
      </c>
    </row>
    <row r="359" spans="1:12" x14ac:dyDescent="0.25">
      <c r="A359" t="s">
        <v>356</v>
      </c>
      <c r="B359" s="1">
        <v>13389</v>
      </c>
      <c r="C359" t="s">
        <v>357</v>
      </c>
      <c r="D359" t="s">
        <v>358</v>
      </c>
      <c r="E359" t="s">
        <v>359</v>
      </c>
      <c r="F359" s="1">
        <v>28598</v>
      </c>
      <c r="G359">
        <v>2</v>
      </c>
      <c r="H359" t="s">
        <v>360</v>
      </c>
      <c r="I359" t="s">
        <v>17</v>
      </c>
      <c r="J359" t="s">
        <v>18</v>
      </c>
      <c r="K359" t="s">
        <v>43</v>
      </c>
      <c r="L359" t="s">
        <v>44</v>
      </c>
    </row>
    <row r="360" spans="1:12" x14ac:dyDescent="0.25">
      <c r="A360" t="s">
        <v>387</v>
      </c>
      <c r="B360" s="1">
        <v>268465</v>
      </c>
      <c r="C360" t="s">
        <v>388</v>
      </c>
      <c r="D360" t="s">
        <v>389</v>
      </c>
      <c r="E360" t="s">
        <v>390</v>
      </c>
      <c r="F360" s="1">
        <v>34408</v>
      </c>
      <c r="G360">
        <v>8</v>
      </c>
      <c r="H360" t="s">
        <v>391</v>
      </c>
      <c r="I360" t="s">
        <v>17</v>
      </c>
      <c r="J360" t="s">
        <v>18</v>
      </c>
      <c r="K360" t="s">
        <v>43</v>
      </c>
      <c r="L360" t="s">
        <v>44</v>
      </c>
    </row>
    <row r="361" spans="1:12" x14ac:dyDescent="0.25">
      <c r="A361" t="s">
        <v>397</v>
      </c>
      <c r="B361" s="1">
        <v>32744</v>
      </c>
      <c r="C361" t="s">
        <v>398</v>
      </c>
      <c r="D361" t="s">
        <v>399</v>
      </c>
      <c r="E361" t="s">
        <v>400</v>
      </c>
      <c r="F361" s="1">
        <v>35026</v>
      </c>
      <c r="G361">
        <v>4</v>
      </c>
      <c r="H361" t="s">
        <v>401</v>
      </c>
      <c r="I361" t="s">
        <v>17</v>
      </c>
      <c r="J361" t="s">
        <v>18</v>
      </c>
      <c r="K361" t="s">
        <v>43</v>
      </c>
      <c r="L361" t="s">
        <v>44</v>
      </c>
    </row>
    <row r="362" spans="1:12" x14ac:dyDescent="0.25">
      <c r="A362" t="s">
        <v>407</v>
      </c>
      <c r="B362">
        <v>789</v>
      </c>
      <c r="C362" t="s">
        <v>408</v>
      </c>
      <c r="D362" t="s">
        <v>409</v>
      </c>
      <c r="E362" t="s">
        <v>410</v>
      </c>
      <c r="F362" s="1">
        <v>39274</v>
      </c>
      <c r="G362">
        <v>2</v>
      </c>
      <c r="H362" t="s">
        <v>411</v>
      </c>
      <c r="I362" t="s">
        <v>17</v>
      </c>
      <c r="J362" t="s">
        <v>18</v>
      </c>
      <c r="K362" t="s">
        <v>43</v>
      </c>
      <c r="L362" t="s">
        <v>282</v>
      </c>
    </row>
    <row r="363" spans="1:12" x14ac:dyDescent="0.25">
      <c r="A363" t="s">
        <v>422</v>
      </c>
      <c r="B363" s="1">
        <v>81355</v>
      </c>
      <c r="C363" t="s">
        <v>423</v>
      </c>
      <c r="D363" t="s">
        <v>424</v>
      </c>
      <c r="E363" t="s">
        <v>425</v>
      </c>
      <c r="F363" s="1">
        <v>46372</v>
      </c>
      <c r="G363">
        <v>12</v>
      </c>
      <c r="H363" t="s">
        <v>426</v>
      </c>
      <c r="I363" t="s">
        <v>91</v>
      </c>
      <c r="J363" t="s">
        <v>18</v>
      </c>
      <c r="K363" t="s">
        <v>19</v>
      </c>
    </row>
    <row r="364" spans="1:12" x14ac:dyDescent="0.25">
      <c r="A364" t="s">
        <v>447</v>
      </c>
      <c r="B364" s="1">
        <v>79517</v>
      </c>
      <c r="C364" t="s">
        <v>448</v>
      </c>
      <c r="D364" t="s">
        <v>449</v>
      </c>
      <c r="E364" t="s">
        <v>450</v>
      </c>
      <c r="F364" s="1">
        <v>53656</v>
      </c>
      <c r="G364">
        <v>10</v>
      </c>
      <c r="H364" t="s">
        <v>451</v>
      </c>
      <c r="I364" t="s">
        <v>91</v>
      </c>
      <c r="J364" t="s">
        <v>18</v>
      </c>
      <c r="K364" t="s">
        <v>19</v>
      </c>
    </row>
    <row r="365" spans="1:12" x14ac:dyDescent="0.25">
      <c r="A365" t="s">
        <v>457</v>
      </c>
      <c r="B365" s="1">
        <v>5564</v>
      </c>
      <c r="C365" t="s">
        <v>458</v>
      </c>
      <c r="D365" t="s">
        <v>459</v>
      </c>
      <c r="E365" t="s">
        <v>460</v>
      </c>
      <c r="F365" s="1">
        <v>58277</v>
      </c>
      <c r="G365">
        <v>6</v>
      </c>
      <c r="H365" t="s">
        <v>461</v>
      </c>
      <c r="I365" t="s">
        <v>17</v>
      </c>
      <c r="J365" t="s">
        <v>18</v>
      </c>
      <c r="K365" t="s">
        <v>19</v>
      </c>
    </row>
    <row r="366" spans="1:12" x14ac:dyDescent="0.25">
      <c r="A366" t="s">
        <v>462</v>
      </c>
      <c r="B366" s="1">
        <v>4332</v>
      </c>
      <c r="C366" t="s">
        <v>463</v>
      </c>
      <c r="D366" t="s">
        <v>464</v>
      </c>
      <c r="E366" t="s">
        <v>465</v>
      </c>
      <c r="F366" s="1">
        <v>58500</v>
      </c>
      <c r="G366">
        <v>2</v>
      </c>
      <c r="H366" t="s">
        <v>466</v>
      </c>
      <c r="I366" t="s">
        <v>17</v>
      </c>
      <c r="J366" t="s">
        <v>18</v>
      </c>
      <c r="K366" t="s">
        <v>43</v>
      </c>
      <c r="L366" t="s">
        <v>44</v>
      </c>
    </row>
    <row r="367" spans="1:12" x14ac:dyDescent="0.25">
      <c r="A367" t="s">
        <v>471</v>
      </c>
      <c r="B367" s="1">
        <v>7397</v>
      </c>
      <c r="C367" t="s">
        <v>472</v>
      </c>
      <c r="D367" t="s">
        <v>473</v>
      </c>
      <c r="E367" t="s">
        <v>474</v>
      </c>
      <c r="F367" s="1">
        <v>71316</v>
      </c>
      <c r="G367">
        <v>6</v>
      </c>
      <c r="H367" t="s">
        <v>475</v>
      </c>
      <c r="I367" t="s">
        <v>17</v>
      </c>
      <c r="J367" t="s">
        <v>18</v>
      </c>
      <c r="K367" t="s">
        <v>19</v>
      </c>
    </row>
    <row r="368" spans="1:12" x14ac:dyDescent="0.25">
      <c r="A368" t="s">
        <v>485</v>
      </c>
      <c r="B368" s="1">
        <v>137005</v>
      </c>
      <c r="C368" t="s">
        <v>486</v>
      </c>
      <c r="D368" t="s">
        <v>487</v>
      </c>
      <c r="E368" t="s">
        <v>488</v>
      </c>
      <c r="F368" s="1">
        <v>76262</v>
      </c>
      <c r="G368">
        <v>4</v>
      </c>
      <c r="H368" t="s">
        <v>489</v>
      </c>
      <c r="I368" t="s">
        <v>17</v>
      </c>
      <c r="J368" t="s">
        <v>18</v>
      </c>
      <c r="K368" t="s">
        <v>43</v>
      </c>
      <c r="L368" t="s">
        <v>44</v>
      </c>
    </row>
    <row r="369" spans="1:12" x14ac:dyDescent="0.25">
      <c r="A369" t="s">
        <v>495</v>
      </c>
      <c r="B369" s="1">
        <v>4546</v>
      </c>
      <c r="C369" t="s">
        <v>496</v>
      </c>
      <c r="D369" t="s">
        <v>497</v>
      </c>
      <c r="E369" t="s">
        <v>498</v>
      </c>
      <c r="F369" s="1">
        <v>94444</v>
      </c>
      <c r="G369">
        <v>3</v>
      </c>
      <c r="H369" t="s">
        <v>24</v>
      </c>
      <c r="I369" t="s">
        <v>17</v>
      </c>
      <c r="J369" t="s">
        <v>18</v>
      </c>
      <c r="K369" t="s">
        <v>43</v>
      </c>
      <c r="L369" t="s">
        <v>282</v>
      </c>
    </row>
    <row r="370" spans="1:12" x14ac:dyDescent="0.25">
      <c r="A370" t="s">
        <v>515</v>
      </c>
      <c r="B370" s="1">
        <v>45094</v>
      </c>
      <c r="C370" t="s">
        <v>516</v>
      </c>
      <c r="D370" t="s">
        <v>517</v>
      </c>
      <c r="E370" t="s">
        <v>518</v>
      </c>
      <c r="F370" s="1">
        <v>101533</v>
      </c>
      <c r="G370">
        <v>5</v>
      </c>
      <c r="H370" t="s">
        <v>519</v>
      </c>
      <c r="I370" t="s">
        <v>17</v>
      </c>
      <c r="J370" t="s">
        <v>18</v>
      </c>
      <c r="K370" t="s">
        <v>43</v>
      </c>
      <c r="L370" t="s">
        <v>44</v>
      </c>
    </row>
    <row r="371" spans="1:12" x14ac:dyDescent="0.25">
      <c r="A371" t="s">
        <v>530</v>
      </c>
      <c r="B371" s="1">
        <v>3002</v>
      </c>
      <c r="C371" t="s">
        <v>531</v>
      </c>
      <c r="D371" t="s">
        <v>532</v>
      </c>
      <c r="E371" t="s">
        <v>533</v>
      </c>
      <c r="F371" s="1">
        <v>127764</v>
      </c>
      <c r="G371">
        <v>1</v>
      </c>
      <c r="H371" t="s">
        <v>456</v>
      </c>
      <c r="I371" t="s">
        <v>17</v>
      </c>
      <c r="J371" t="s">
        <v>18</v>
      </c>
      <c r="K371" t="s">
        <v>43</v>
      </c>
      <c r="L371" t="s">
        <v>44</v>
      </c>
    </row>
    <row r="372" spans="1:12" x14ac:dyDescent="0.25">
      <c r="A372" t="s">
        <v>544</v>
      </c>
      <c r="B372" s="1">
        <v>9102</v>
      </c>
      <c r="C372" t="s">
        <v>545</v>
      </c>
      <c r="D372" t="s">
        <v>546</v>
      </c>
      <c r="E372" t="s">
        <v>547</v>
      </c>
      <c r="F372" s="1">
        <v>196096</v>
      </c>
      <c r="G372">
        <v>6</v>
      </c>
      <c r="H372" t="s">
        <v>548</v>
      </c>
      <c r="I372" t="s">
        <v>91</v>
      </c>
      <c r="J372" t="s">
        <v>18</v>
      </c>
      <c r="K372" t="s">
        <v>19</v>
      </c>
    </row>
    <row r="373" spans="1:12" x14ac:dyDescent="0.25">
      <c r="A373" t="s">
        <v>554</v>
      </c>
      <c r="B373" s="1">
        <v>3655</v>
      </c>
      <c r="C373" t="s">
        <v>555</v>
      </c>
      <c r="D373" t="s">
        <v>556</v>
      </c>
      <c r="E373" t="s">
        <v>557</v>
      </c>
      <c r="F373" s="1">
        <v>238735</v>
      </c>
      <c r="G373">
        <v>2</v>
      </c>
      <c r="H373" t="s">
        <v>558</v>
      </c>
      <c r="I373" t="s">
        <v>17</v>
      </c>
      <c r="J373" t="s">
        <v>18</v>
      </c>
      <c r="K373" t="s">
        <v>19</v>
      </c>
    </row>
    <row r="374" spans="1:12" x14ac:dyDescent="0.25">
      <c r="A374" t="s">
        <v>564</v>
      </c>
      <c r="B374">
        <v>506</v>
      </c>
      <c r="C374" t="s">
        <v>565</v>
      </c>
      <c r="D374" t="s">
        <v>566</v>
      </c>
      <c r="E374" t="s">
        <v>562</v>
      </c>
      <c r="F374" s="1">
        <v>241802</v>
      </c>
      <c r="G374">
        <v>4</v>
      </c>
      <c r="H374" t="s">
        <v>567</v>
      </c>
      <c r="I374" t="s">
        <v>17</v>
      </c>
      <c r="J374" t="s">
        <v>18</v>
      </c>
      <c r="K374" t="s">
        <v>19</v>
      </c>
    </row>
    <row r="375" spans="1:12" x14ac:dyDescent="0.25">
      <c r="A375" t="s">
        <v>1888</v>
      </c>
      <c r="B375" s="1">
        <v>1843</v>
      </c>
      <c r="C375" t="s">
        <v>1889</v>
      </c>
      <c r="D375" t="s">
        <v>1890</v>
      </c>
      <c r="E375" t="s">
        <v>1891</v>
      </c>
      <c r="F375">
        <v>855</v>
      </c>
      <c r="G375">
        <v>1</v>
      </c>
      <c r="H375" t="s">
        <v>1892</v>
      </c>
      <c r="I375" t="s">
        <v>17</v>
      </c>
      <c r="J375" t="s">
        <v>18</v>
      </c>
      <c r="K375" t="s">
        <v>43</v>
      </c>
      <c r="L375" t="s">
        <v>44</v>
      </c>
    </row>
    <row r="376" spans="1:12" x14ac:dyDescent="0.25">
      <c r="A376" t="s">
        <v>1893</v>
      </c>
      <c r="B376">
        <v>119</v>
      </c>
      <c r="C376" t="s">
        <v>1894</v>
      </c>
      <c r="D376" t="s">
        <v>1895</v>
      </c>
      <c r="E376" t="s">
        <v>1896</v>
      </c>
      <c r="F376" s="1">
        <v>2811</v>
      </c>
      <c r="G376">
        <v>1</v>
      </c>
      <c r="H376" t="s">
        <v>1897</v>
      </c>
      <c r="I376" t="s">
        <v>17</v>
      </c>
      <c r="J376" t="s">
        <v>18</v>
      </c>
      <c r="K376" t="s">
        <v>43</v>
      </c>
      <c r="L376" t="s">
        <v>44</v>
      </c>
    </row>
    <row r="377" spans="1:12" x14ac:dyDescent="0.25">
      <c r="A377" t="s">
        <v>1898</v>
      </c>
      <c r="B377" s="1">
        <v>13457</v>
      </c>
      <c r="C377" t="s">
        <v>1899</v>
      </c>
      <c r="D377" t="s">
        <v>1900</v>
      </c>
      <c r="E377" t="s">
        <v>1901</v>
      </c>
      <c r="F377">
        <v>303</v>
      </c>
      <c r="G377">
        <v>7</v>
      </c>
      <c r="H377" t="s">
        <v>1902</v>
      </c>
      <c r="I377" t="s">
        <v>17</v>
      </c>
      <c r="J377" t="s">
        <v>18</v>
      </c>
      <c r="K377" t="s">
        <v>43</v>
      </c>
      <c r="L377" t="s">
        <v>44</v>
      </c>
    </row>
    <row r="378" spans="1:12" x14ac:dyDescent="0.25">
      <c r="A378" t="s">
        <v>1903</v>
      </c>
      <c r="B378" s="1">
        <v>21529</v>
      </c>
      <c r="C378" t="s">
        <v>1904</v>
      </c>
      <c r="D378" t="s">
        <v>1905</v>
      </c>
      <c r="E378" t="s">
        <v>1906</v>
      </c>
      <c r="F378" s="1">
        <v>1924</v>
      </c>
      <c r="G378">
        <v>3</v>
      </c>
      <c r="H378" t="s">
        <v>1907</v>
      </c>
      <c r="I378" t="s">
        <v>17</v>
      </c>
      <c r="J378" t="s">
        <v>18</v>
      </c>
      <c r="K378" t="s">
        <v>43</v>
      </c>
      <c r="L378" t="s">
        <v>44</v>
      </c>
    </row>
    <row r="379" spans="1:12" x14ac:dyDescent="0.25">
      <c r="A379" t="s">
        <v>1908</v>
      </c>
      <c r="B379" s="1">
        <v>14157</v>
      </c>
      <c r="C379" t="s">
        <v>1909</v>
      </c>
      <c r="D379" t="s">
        <v>1910</v>
      </c>
      <c r="E379" t="s">
        <v>1911</v>
      </c>
      <c r="F379">
        <v>267</v>
      </c>
      <c r="G379">
        <v>6</v>
      </c>
      <c r="H379" t="s">
        <v>1902</v>
      </c>
      <c r="I379" t="s">
        <v>17</v>
      </c>
      <c r="J379" t="s">
        <v>18</v>
      </c>
      <c r="K379" t="s">
        <v>43</v>
      </c>
      <c r="L379" t="s">
        <v>44</v>
      </c>
    </row>
    <row r="380" spans="1:12" x14ac:dyDescent="0.25">
      <c r="A380" t="s">
        <v>1912</v>
      </c>
      <c r="B380" s="1">
        <v>31713</v>
      </c>
      <c r="C380" t="s">
        <v>1913</v>
      </c>
      <c r="D380" t="s">
        <v>1914</v>
      </c>
      <c r="E380" t="s">
        <v>1915</v>
      </c>
      <c r="F380">
        <v>203</v>
      </c>
      <c r="G380">
        <v>3</v>
      </c>
      <c r="H380" t="s">
        <v>1916</v>
      </c>
      <c r="I380" t="s">
        <v>17</v>
      </c>
      <c r="J380" t="s">
        <v>18</v>
      </c>
      <c r="K380" t="s">
        <v>43</v>
      </c>
      <c r="L380" t="s">
        <v>44</v>
      </c>
    </row>
    <row r="381" spans="1:12" x14ac:dyDescent="0.25">
      <c r="A381" t="s">
        <v>1917</v>
      </c>
      <c r="B381" s="1">
        <v>18782</v>
      </c>
      <c r="C381" t="s">
        <v>1918</v>
      </c>
      <c r="D381" t="s">
        <v>1919</v>
      </c>
      <c r="E381" t="s">
        <v>1920</v>
      </c>
      <c r="F381" s="1">
        <v>1373</v>
      </c>
      <c r="G381">
        <v>3</v>
      </c>
      <c r="H381" t="s">
        <v>1921</v>
      </c>
      <c r="I381" t="s">
        <v>17</v>
      </c>
      <c r="J381" t="s">
        <v>18</v>
      </c>
      <c r="K381" t="s">
        <v>43</v>
      </c>
      <c r="L381" t="s">
        <v>44</v>
      </c>
    </row>
    <row r="382" spans="1:12" x14ac:dyDescent="0.25">
      <c r="A382" t="s">
        <v>1922</v>
      </c>
      <c r="B382" s="1">
        <v>1082</v>
      </c>
      <c r="C382" t="s">
        <v>1923</v>
      </c>
      <c r="D382" t="s">
        <v>1924</v>
      </c>
      <c r="E382" t="s">
        <v>1925</v>
      </c>
      <c r="F382">
        <v>131</v>
      </c>
      <c r="G382">
        <v>1</v>
      </c>
      <c r="H382" t="s">
        <v>1926</v>
      </c>
      <c r="I382" t="s">
        <v>17</v>
      </c>
      <c r="J382" t="s">
        <v>18</v>
      </c>
      <c r="K382" t="s">
        <v>43</v>
      </c>
      <c r="L382" t="s">
        <v>44</v>
      </c>
    </row>
    <row r="383" spans="1:12" x14ac:dyDescent="0.25">
      <c r="A383" t="s">
        <v>1927</v>
      </c>
      <c r="B383" s="1">
        <v>23345</v>
      </c>
      <c r="C383" t="s">
        <v>1928</v>
      </c>
      <c r="D383" t="s">
        <v>1929</v>
      </c>
      <c r="E383" t="s">
        <v>1930</v>
      </c>
      <c r="F383" s="1">
        <v>5829</v>
      </c>
      <c r="G383">
        <v>6</v>
      </c>
      <c r="H383" t="s">
        <v>1931</v>
      </c>
      <c r="I383" t="s">
        <v>17</v>
      </c>
      <c r="J383" t="s">
        <v>18</v>
      </c>
      <c r="K383" t="s">
        <v>43</v>
      </c>
      <c r="L383" t="s">
        <v>44</v>
      </c>
    </row>
    <row r="384" spans="1:12" x14ac:dyDescent="0.25">
      <c r="A384" t="s">
        <v>1932</v>
      </c>
      <c r="B384" s="1">
        <v>3153</v>
      </c>
      <c r="C384" t="s">
        <v>1933</v>
      </c>
      <c r="D384" t="s">
        <v>1934</v>
      </c>
      <c r="E384" t="s">
        <v>1935</v>
      </c>
      <c r="F384" s="1">
        <v>2129</v>
      </c>
      <c r="G384">
        <v>1</v>
      </c>
      <c r="H384" t="s">
        <v>902</v>
      </c>
      <c r="I384" t="s">
        <v>17</v>
      </c>
      <c r="J384" t="s">
        <v>18</v>
      </c>
      <c r="K384" t="s">
        <v>43</v>
      </c>
      <c r="L384" t="s">
        <v>44</v>
      </c>
    </row>
    <row r="385" spans="1:12" x14ac:dyDescent="0.25">
      <c r="A385" t="s">
        <v>1936</v>
      </c>
      <c r="B385" s="1">
        <v>10417</v>
      </c>
      <c r="C385" t="s">
        <v>1937</v>
      </c>
      <c r="D385" t="s">
        <v>1938</v>
      </c>
      <c r="E385" t="s">
        <v>1939</v>
      </c>
      <c r="F385" s="1">
        <v>7394</v>
      </c>
      <c r="G385">
        <v>2</v>
      </c>
      <c r="H385" t="s">
        <v>1940</v>
      </c>
      <c r="I385" t="s">
        <v>17</v>
      </c>
      <c r="J385" t="s">
        <v>18</v>
      </c>
      <c r="K385" t="s">
        <v>43</v>
      </c>
      <c r="L385" t="s">
        <v>44</v>
      </c>
    </row>
    <row r="386" spans="1:12" x14ac:dyDescent="0.25">
      <c r="A386" t="s">
        <v>1941</v>
      </c>
      <c r="B386" s="1">
        <v>18415</v>
      </c>
      <c r="C386" t="s">
        <v>1942</v>
      </c>
      <c r="D386" t="s">
        <v>1943</v>
      </c>
      <c r="E386" t="s">
        <v>1944</v>
      </c>
      <c r="F386" s="1">
        <v>3862</v>
      </c>
      <c r="G386">
        <v>2</v>
      </c>
      <c r="H386" t="s">
        <v>1945</v>
      </c>
      <c r="I386" t="s">
        <v>17</v>
      </c>
      <c r="J386" t="s">
        <v>18</v>
      </c>
      <c r="K386" t="s">
        <v>43</v>
      </c>
      <c r="L386" t="s">
        <v>44</v>
      </c>
    </row>
    <row r="387" spans="1:12" x14ac:dyDescent="0.25">
      <c r="A387" t="s">
        <v>1946</v>
      </c>
      <c r="B387" s="1">
        <v>7817</v>
      </c>
      <c r="C387" t="s">
        <v>1947</v>
      </c>
      <c r="D387" t="s">
        <v>1948</v>
      </c>
      <c r="E387" t="s">
        <v>1949</v>
      </c>
      <c r="F387" s="1">
        <v>2864</v>
      </c>
      <c r="G387">
        <v>5</v>
      </c>
      <c r="H387" t="s">
        <v>360</v>
      </c>
      <c r="I387" t="s">
        <v>17</v>
      </c>
      <c r="J387" t="s">
        <v>18</v>
      </c>
      <c r="K387" t="s">
        <v>43</v>
      </c>
      <c r="L387" t="s">
        <v>44</v>
      </c>
    </row>
    <row r="388" spans="1:12" x14ac:dyDescent="0.25">
      <c r="A388" t="s">
        <v>1950</v>
      </c>
      <c r="B388" s="1">
        <v>2814</v>
      </c>
      <c r="C388" t="s">
        <v>1951</v>
      </c>
      <c r="D388" t="s">
        <v>1952</v>
      </c>
      <c r="E388" t="s">
        <v>1953</v>
      </c>
      <c r="F388">
        <v>429</v>
      </c>
      <c r="G388">
        <v>1</v>
      </c>
      <c r="H388" t="s">
        <v>1954</v>
      </c>
      <c r="I388" t="s">
        <v>17</v>
      </c>
      <c r="J388" t="s">
        <v>18</v>
      </c>
      <c r="K388" t="s">
        <v>43</v>
      </c>
      <c r="L388" t="s">
        <v>44</v>
      </c>
    </row>
    <row r="389" spans="1:12" x14ac:dyDescent="0.25">
      <c r="A389" t="s">
        <v>1955</v>
      </c>
      <c r="B389" s="1">
        <v>4568</v>
      </c>
      <c r="C389" t="s">
        <v>1956</v>
      </c>
      <c r="D389" t="s">
        <v>1957</v>
      </c>
      <c r="E389" t="s">
        <v>1958</v>
      </c>
      <c r="F389" s="1">
        <v>1432</v>
      </c>
      <c r="G389">
        <v>3</v>
      </c>
      <c r="H389" t="s">
        <v>1959</v>
      </c>
      <c r="I389" t="s">
        <v>17</v>
      </c>
      <c r="J389" t="s">
        <v>18</v>
      </c>
      <c r="K389" t="s">
        <v>43</v>
      </c>
      <c r="L389" t="s">
        <v>44</v>
      </c>
    </row>
    <row r="390" spans="1:12" x14ac:dyDescent="0.25">
      <c r="A390" t="s">
        <v>1960</v>
      </c>
      <c r="B390" s="1">
        <v>7797</v>
      </c>
      <c r="C390" t="s">
        <v>1961</v>
      </c>
      <c r="D390" t="s">
        <v>1962</v>
      </c>
      <c r="E390" t="s">
        <v>1963</v>
      </c>
      <c r="F390" s="1">
        <v>7362</v>
      </c>
      <c r="G390">
        <v>2</v>
      </c>
      <c r="H390" t="s">
        <v>1964</v>
      </c>
      <c r="I390" t="s">
        <v>17</v>
      </c>
      <c r="J390" t="s">
        <v>18</v>
      </c>
      <c r="K390" t="s">
        <v>43</v>
      </c>
      <c r="L390" t="s">
        <v>44</v>
      </c>
    </row>
    <row r="391" spans="1:12" x14ac:dyDescent="0.25">
      <c r="A391" t="s">
        <v>1965</v>
      </c>
      <c r="B391" s="1">
        <v>1723</v>
      </c>
      <c r="C391" t="s">
        <v>1966</v>
      </c>
      <c r="D391" t="s">
        <v>1967</v>
      </c>
      <c r="E391" t="s">
        <v>1968</v>
      </c>
      <c r="F391" s="1">
        <v>1106</v>
      </c>
      <c r="G391">
        <v>1</v>
      </c>
      <c r="H391" t="s">
        <v>1969</v>
      </c>
      <c r="I391" t="s">
        <v>17</v>
      </c>
      <c r="J391" t="s">
        <v>18</v>
      </c>
      <c r="K391" t="s">
        <v>43</v>
      </c>
      <c r="L391" t="s">
        <v>44</v>
      </c>
    </row>
    <row r="392" spans="1:12" x14ac:dyDescent="0.25">
      <c r="A392" t="s">
        <v>1970</v>
      </c>
      <c r="B392" s="1">
        <v>2922</v>
      </c>
      <c r="C392" t="s">
        <v>1971</v>
      </c>
      <c r="D392" t="s">
        <v>1972</v>
      </c>
      <c r="E392" t="s">
        <v>1973</v>
      </c>
      <c r="F392">
        <v>73</v>
      </c>
      <c r="G392">
        <v>1</v>
      </c>
      <c r="H392" t="s">
        <v>1974</v>
      </c>
      <c r="I392" t="s">
        <v>91</v>
      </c>
      <c r="J392" t="s">
        <v>18</v>
      </c>
      <c r="K392" t="s">
        <v>43</v>
      </c>
      <c r="L392" t="s">
        <v>44</v>
      </c>
    </row>
    <row r="393" spans="1:12" x14ac:dyDescent="0.25">
      <c r="A393" t="s">
        <v>1975</v>
      </c>
      <c r="B393" s="1">
        <v>34458</v>
      </c>
      <c r="C393" t="s">
        <v>1976</v>
      </c>
      <c r="D393" t="s">
        <v>1977</v>
      </c>
      <c r="E393" t="s">
        <v>1978</v>
      </c>
      <c r="F393">
        <v>185</v>
      </c>
      <c r="G393">
        <v>3</v>
      </c>
      <c r="H393" t="s">
        <v>1979</v>
      </c>
      <c r="I393" t="s">
        <v>17</v>
      </c>
      <c r="J393" t="s">
        <v>18</v>
      </c>
      <c r="K393" t="s">
        <v>43</v>
      </c>
      <c r="L393" t="s">
        <v>44</v>
      </c>
    </row>
    <row r="394" spans="1:12" x14ac:dyDescent="0.25">
      <c r="A394" t="s">
        <v>1980</v>
      </c>
      <c r="B394" s="1">
        <v>1878</v>
      </c>
      <c r="C394" t="s">
        <v>1981</v>
      </c>
      <c r="D394" t="s">
        <v>1982</v>
      </c>
      <c r="E394" t="s">
        <v>1983</v>
      </c>
      <c r="F394" s="1">
        <v>1606</v>
      </c>
      <c r="G394">
        <v>2</v>
      </c>
      <c r="H394" t="s">
        <v>1984</v>
      </c>
      <c r="I394" t="s">
        <v>17</v>
      </c>
      <c r="J394" t="s">
        <v>18</v>
      </c>
      <c r="K394" t="s">
        <v>43</v>
      </c>
      <c r="L394" t="s">
        <v>44</v>
      </c>
    </row>
    <row r="395" spans="1:12" x14ac:dyDescent="0.25">
      <c r="A395" t="s">
        <v>1985</v>
      </c>
      <c r="B395" s="1">
        <v>86272</v>
      </c>
      <c r="C395" t="s">
        <v>1986</v>
      </c>
      <c r="D395" t="s">
        <v>1987</v>
      </c>
      <c r="E395" t="s">
        <v>1988</v>
      </c>
      <c r="F395">
        <v>797</v>
      </c>
      <c r="G395">
        <v>6</v>
      </c>
      <c r="H395" t="s">
        <v>1989</v>
      </c>
      <c r="I395" t="s">
        <v>17</v>
      </c>
      <c r="J395" t="s">
        <v>18</v>
      </c>
      <c r="K395" t="s">
        <v>43</v>
      </c>
      <c r="L395" t="s">
        <v>44</v>
      </c>
    </row>
    <row r="396" spans="1:12" x14ac:dyDescent="0.25">
      <c r="A396" t="s">
        <v>1990</v>
      </c>
      <c r="B396" s="1">
        <v>3258</v>
      </c>
      <c r="C396" t="s">
        <v>1991</v>
      </c>
      <c r="D396" t="s">
        <v>1992</v>
      </c>
      <c r="E396" t="s">
        <v>1993</v>
      </c>
      <c r="F396">
        <v>143</v>
      </c>
      <c r="G396">
        <v>1</v>
      </c>
      <c r="H396" t="s">
        <v>1994</v>
      </c>
      <c r="I396" t="s">
        <v>17</v>
      </c>
      <c r="J396" t="s">
        <v>18</v>
      </c>
      <c r="K396" t="s">
        <v>43</v>
      </c>
      <c r="L396" t="s">
        <v>44</v>
      </c>
    </row>
    <row r="397" spans="1:12" x14ac:dyDescent="0.25">
      <c r="A397" t="s">
        <v>1995</v>
      </c>
      <c r="B397" s="1">
        <v>3180</v>
      </c>
      <c r="C397" t="s">
        <v>1996</v>
      </c>
      <c r="D397" t="s">
        <v>1997</v>
      </c>
      <c r="E397" t="s">
        <v>1998</v>
      </c>
      <c r="F397" s="1">
        <v>2347</v>
      </c>
      <c r="G397">
        <v>2</v>
      </c>
      <c r="H397" t="s">
        <v>1999</v>
      </c>
      <c r="I397" t="s">
        <v>17</v>
      </c>
      <c r="J397" t="s">
        <v>18</v>
      </c>
      <c r="K397" t="s">
        <v>43</v>
      </c>
      <c r="L397" t="s">
        <v>44</v>
      </c>
    </row>
    <row r="398" spans="1:12" x14ac:dyDescent="0.25">
      <c r="A398" t="s">
        <v>2000</v>
      </c>
      <c r="B398" s="1">
        <v>96664</v>
      </c>
      <c r="C398" t="s">
        <v>2001</v>
      </c>
      <c r="D398" t="s">
        <v>2002</v>
      </c>
      <c r="E398" t="s">
        <v>2003</v>
      </c>
      <c r="F398" s="1">
        <v>4361</v>
      </c>
      <c r="G398">
        <v>1</v>
      </c>
      <c r="H398" t="s">
        <v>2004</v>
      </c>
      <c r="I398" t="s">
        <v>17</v>
      </c>
      <c r="J398" t="s">
        <v>18</v>
      </c>
      <c r="K398" t="s">
        <v>43</v>
      </c>
      <c r="L398" t="s">
        <v>44</v>
      </c>
    </row>
    <row r="399" spans="1:12" x14ac:dyDescent="0.25">
      <c r="A399" t="s">
        <v>2005</v>
      </c>
      <c r="B399" s="1">
        <v>7411</v>
      </c>
      <c r="C399" t="s">
        <v>2006</v>
      </c>
      <c r="D399" t="s">
        <v>2007</v>
      </c>
      <c r="E399" t="s">
        <v>2008</v>
      </c>
      <c r="F399" s="1">
        <v>8067</v>
      </c>
      <c r="G399">
        <v>2</v>
      </c>
      <c r="H399" t="s">
        <v>2009</v>
      </c>
      <c r="I399" t="s">
        <v>17</v>
      </c>
      <c r="J399" t="s">
        <v>18</v>
      </c>
      <c r="K399" t="s">
        <v>43</v>
      </c>
      <c r="L399" t="s">
        <v>44</v>
      </c>
    </row>
    <row r="400" spans="1:12" x14ac:dyDescent="0.25">
      <c r="A400" t="s">
        <v>2010</v>
      </c>
      <c r="B400" s="1">
        <v>3561</v>
      </c>
      <c r="C400" t="s">
        <v>2011</v>
      </c>
      <c r="D400" t="s">
        <v>2012</v>
      </c>
      <c r="E400" t="s">
        <v>2013</v>
      </c>
      <c r="F400" s="1">
        <v>3894</v>
      </c>
      <c r="G400">
        <v>7</v>
      </c>
      <c r="H400" t="s">
        <v>2014</v>
      </c>
      <c r="I400" t="s">
        <v>17</v>
      </c>
      <c r="J400" t="s">
        <v>18</v>
      </c>
      <c r="K400" t="s">
        <v>43</v>
      </c>
      <c r="L400" t="s">
        <v>44</v>
      </c>
    </row>
    <row r="401" spans="1:12" x14ac:dyDescent="0.25">
      <c r="A401" t="s">
        <v>2015</v>
      </c>
      <c r="B401" s="1">
        <v>1463</v>
      </c>
      <c r="C401" t="s">
        <v>2016</v>
      </c>
      <c r="D401" t="s">
        <v>2017</v>
      </c>
      <c r="E401" t="s">
        <v>2018</v>
      </c>
      <c r="F401">
        <v>89</v>
      </c>
      <c r="G401">
        <v>3</v>
      </c>
      <c r="H401" t="s">
        <v>296</v>
      </c>
      <c r="I401" t="s">
        <v>91</v>
      </c>
      <c r="J401" t="s">
        <v>18</v>
      </c>
      <c r="K401" t="s">
        <v>43</v>
      </c>
      <c r="L401" t="s">
        <v>44</v>
      </c>
    </row>
    <row r="402" spans="1:12" x14ac:dyDescent="0.25">
      <c r="A402" t="s">
        <v>2019</v>
      </c>
      <c r="B402" s="1">
        <v>6312</v>
      </c>
      <c r="C402" t="s">
        <v>2020</v>
      </c>
      <c r="D402" t="s">
        <v>2021</v>
      </c>
      <c r="E402" t="s">
        <v>2022</v>
      </c>
      <c r="F402" s="1">
        <v>1380</v>
      </c>
      <c r="G402">
        <v>1</v>
      </c>
      <c r="H402" t="s">
        <v>2023</v>
      </c>
      <c r="I402" t="s">
        <v>17</v>
      </c>
      <c r="J402" t="s">
        <v>18</v>
      </c>
      <c r="K402" t="s">
        <v>43</v>
      </c>
      <c r="L402" t="s">
        <v>44</v>
      </c>
    </row>
    <row r="403" spans="1:12" x14ac:dyDescent="0.25">
      <c r="A403" t="s">
        <v>2024</v>
      </c>
      <c r="B403" s="1">
        <v>3977</v>
      </c>
      <c r="C403" t="s">
        <v>2025</v>
      </c>
      <c r="D403" t="s">
        <v>2026</v>
      </c>
      <c r="E403" t="s">
        <v>2027</v>
      </c>
      <c r="F403">
        <v>163</v>
      </c>
      <c r="G403">
        <v>2</v>
      </c>
      <c r="H403" t="s">
        <v>2028</v>
      </c>
      <c r="I403" t="s">
        <v>17</v>
      </c>
      <c r="J403" t="s">
        <v>18</v>
      </c>
      <c r="K403" t="s">
        <v>43</v>
      </c>
      <c r="L403" t="s">
        <v>44</v>
      </c>
    </row>
    <row r="404" spans="1:12" x14ac:dyDescent="0.25">
      <c r="A404" t="s">
        <v>2029</v>
      </c>
      <c r="B404" s="1">
        <v>3491</v>
      </c>
      <c r="C404" t="s">
        <v>2030</v>
      </c>
      <c r="D404" t="s">
        <v>2031</v>
      </c>
      <c r="E404" t="s">
        <v>2032</v>
      </c>
      <c r="F404" s="1">
        <v>2616</v>
      </c>
      <c r="G404">
        <v>1</v>
      </c>
      <c r="H404" t="s">
        <v>2033</v>
      </c>
      <c r="I404" t="s">
        <v>17</v>
      </c>
      <c r="J404" t="s">
        <v>18</v>
      </c>
      <c r="K404" t="s">
        <v>43</v>
      </c>
      <c r="L404" t="s">
        <v>44</v>
      </c>
    </row>
    <row r="405" spans="1:12" x14ac:dyDescent="0.25">
      <c r="A405" t="s">
        <v>2034</v>
      </c>
      <c r="B405" s="1">
        <v>25872</v>
      </c>
      <c r="C405" t="s">
        <v>2035</v>
      </c>
      <c r="D405" t="s">
        <v>2036</v>
      </c>
      <c r="E405" t="s">
        <v>2037</v>
      </c>
      <c r="F405" s="1">
        <v>1261</v>
      </c>
      <c r="G405">
        <v>5</v>
      </c>
      <c r="H405" t="s">
        <v>2038</v>
      </c>
      <c r="I405" t="s">
        <v>17</v>
      </c>
      <c r="J405" t="s">
        <v>18</v>
      </c>
      <c r="K405" t="s">
        <v>43</v>
      </c>
      <c r="L405" t="s">
        <v>44</v>
      </c>
    </row>
    <row r="406" spans="1:12" x14ac:dyDescent="0.25">
      <c r="A406" t="s">
        <v>2039</v>
      </c>
      <c r="B406" s="1">
        <v>71210</v>
      </c>
      <c r="C406" t="s">
        <v>2040</v>
      </c>
      <c r="D406" t="s">
        <v>2041</v>
      </c>
      <c r="E406" t="s">
        <v>2042</v>
      </c>
      <c r="F406" s="1">
        <v>1175</v>
      </c>
      <c r="G406">
        <v>2</v>
      </c>
      <c r="H406" t="s">
        <v>2043</v>
      </c>
      <c r="I406" t="s">
        <v>17</v>
      </c>
      <c r="J406" t="s">
        <v>18</v>
      </c>
      <c r="K406" t="s">
        <v>43</v>
      </c>
      <c r="L406" t="s">
        <v>44</v>
      </c>
    </row>
    <row r="407" spans="1:12" x14ac:dyDescent="0.25">
      <c r="A407" t="s">
        <v>2044</v>
      </c>
      <c r="B407" s="1">
        <v>3975</v>
      </c>
      <c r="C407" t="s">
        <v>2045</v>
      </c>
      <c r="D407" t="s">
        <v>2046</v>
      </c>
      <c r="E407" t="s">
        <v>2047</v>
      </c>
      <c r="F407" s="1">
        <v>1006</v>
      </c>
      <c r="G407">
        <v>1</v>
      </c>
      <c r="H407" t="s">
        <v>2048</v>
      </c>
      <c r="I407" t="s">
        <v>17</v>
      </c>
      <c r="J407" t="s">
        <v>18</v>
      </c>
      <c r="K407" t="s">
        <v>43</v>
      </c>
      <c r="L407" t="s">
        <v>44</v>
      </c>
    </row>
    <row r="408" spans="1:12" x14ac:dyDescent="0.25">
      <c r="A408" t="s">
        <v>2049</v>
      </c>
      <c r="B408" s="1">
        <v>1836</v>
      </c>
      <c r="C408" t="s">
        <v>2050</v>
      </c>
      <c r="D408" t="s">
        <v>2051</v>
      </c>
      <c r="E408" t="s">
        <v>2052</v>
      </c>
      <c r="F408">
        <v>143</v>
      </c>
      <c r="G408">
        <v>3</v>
      </c>
      <c r="H408" t="s">
        <v>2053</v>
      </c>
      <c r="I408" t="s">
        <v>17</v>
      </c>
      <c r="J408" t="s">
        <v>18</v>
      </c>
      <c r="K408" t="s">
        <v>43</v>
      </c>
      <c r="L408" t="s">
        <v>44</v>
      </c>
    </row>
    <row r="409" spans="1:12" x14ac:dyDescent="0.25">
      <c r="A409" t="s">
        <v>2054</v>
      </c>
      <c r="B409" s="1">
        <v>39832</v>
      </c>
      <c r="C409" t="s">
        <v>2055</v>
      </c>
      <c r="D409" t="s">
        <v>2056</v>
      </c>
      <c r="E409" t="s">
        <v>2057</v>
      </c>
      <c r="F409">
        <v>727</v>
      </c>
      <c r="G409">
        <v>8</v>
      </c>
      <c r="H409" t="s">
        <v>2058</v>
      </c>
      <c r="I409" t="s">
        <v>17</v>
      </c>
      <c r="J409" t="s">
        <v>18</v>
      </c>
      <c r="K409" t="s">
        <v>43</v>
      </c>
      <c r="L409" t="s">
        <v>44</v>
      </c>
    </row>
    <row r="410" spans="1:12" x14ac:dyDescent="0.25">
      <c r="A410" t="s">
        <v>2059</v>
      </c>
      <c r="B410" s="1">
        <v>8877</v>
      </c>
      <c r="C410" t="s">
        <v>2060</v>
      </c>
      <c r="D410" t="s">
        <v>2061</v>
      </c>
      <c r="E410" t="s">
        <v>2062</v>
      </c>
      <c r="F410" s="1">
        <v>8076</v>
      </c>
      <c r="G410">
        <v>4</v>
      </c>
      <c r="H410" t="s">
        <v>2063</v>
      </c>
      <c r="I410" t="s">
        <v>17</v>
      </c>
      <c r="J410" t="s">
        <v>18</v>
      </c>
      <c r="K410" t="s">
        <v>43</v>
      </c>
      <c r="L410" t="s">
        <v>44</v>
      </c>
    </row>
    <row r="411" spans="1:12" x14ac:dyDescent="0.25">
      <c r="A411" t="s">
        <v>2064</v>
      </c>
      <c r="B411" s="1">
        <v>2055</v>
      </c>
      <c r="C411" t="s">
        <v>2065</v>
      </c>
      <c r="D411" t="s">
        <v>2066</v>
      </c>
      <c r="E411" t="s">
        <v>1953</v>
      </c>
      <c r="F411">
        <v>429</v>
      </c>
      <c r="G411">
        <v>1</v>
      </c>
      <c r="H411" t="s">
        <v>2067</v>
      </c>
      <c r="I411" t="s">
        <v>17</v>
      </c>
      <c r="J411" t="s">
        <v>18</v>
      </c>
      <c r="K411" t="s">
        <v>43</v>
      </c>
      <c r="L411" t="s">
        <v>44</v>
      </c>
    </row>
    <row r="412" spans="1:12" x14ac:dyDescent="0.25">
      <c r="A412" t="s">
        <v>2068</v>
      </c>
      <c r="B412" s="1">
        <v>3191</v>
      </c>
      <c r="C412" t="s">
        <v>2069</v>
      </c>
      <c r="D412" t="s">
        <v>2070</v>
      </c>
      <c r="E412" t="s">
        <v>1610</v>
      </c>
      <c r="F412" s="1">
        <v>6435</v>
      </c>
      <c r="G412">
        <v>1</v>
      </c>
      <c r="H412" t="s">
        <v>2071</v>
      </c>
      <c r="I412" t="s">
        <v>17</v>
      </c>
      <c r="J412" t="s">
        <v>18</v>
      </c>
      <c r="K412" t="s">
        <v>43</v>
      </c>
      <c r="L412" t="s">
        <v>44</v>
      </c>
    </row>
    <row r="413" spans="1:12" x14ac:dyDescent="0.25">
      <c r="A413" t="s">
        <v>2072</v>
      </c>
      <c r="B413" s="1">
        <v>1583</v>
      </c>
      <c r="C413" t="s">
        <v>2073</v>
      </c>
      <c r="D413" t="s">
        <v>2074</v>
      </c>
      <c r="E413" t="s">
        <v>2075</v>
      </c>
      <c r="F413">
        <v>681</v>
      </c>
      <c r="G413">
        <v>2</v>
      </c>
      <c r="H413" t="s">
        <v>2076</v>
      </c>
      <c r="I413" t="s">
        <v>17</v>
      </c>
      <c r="J413" t="s">
        <v>18</v>
      </c>
      <c r="K413" t="s">
        <v>43</v>
      </c>
      <c r="L413" t="s">
        <v>44</v>
      </c>
    </row>
    <row r="414" spans="1:12" x14ac:dyDescent="0.25">
      <c r="A414" t="s">
        <v>2077</v>
      </c>
      <c r="B414" s="1">
        <v>7424</v>
      </c>
      <c r="C414" t="s">
        <v>2078</v>
      </c>
      <c r="D414" t="s">
        <v>2079</v>
      </c>
      <c r="E414" t="s">
        <v>2080</v>
      </c>
      <c r="F414">
        <v>195</v>
      </c>
      <c r="G414">
        <v>5</v>
      </c>
      <c r="H414" t="s">
        <v>2081</v>
      </c>
      <c r="I414" t="s">
        <v>17</v>
      </c>
      <c r="J414" t="s">
        <v>18</v>
      </c>
      <c r="K414" t="s">
        <v>43</v>
      </c>
      <c r="L414" t="s">
        <v>44</v>
      </c>
    </row>
    <row r="415" spans="1:12" x14ac:dyDescent="0.25">
      <c r="A415" t="s">
        <v>2082</v>
      </c>
      <c r="B415" s="1">
        <v>6100</v>
      </c>
      <c r="C415" t="s">
        <v>2083</v>
      </c>
      <c r="D415" t="s">
        <v>2084</v>
      </c>
      <c r="E415" t="s">
        <v>2085</v>
      </c>
      <c r="F415" s="1">
        <v>2020</v>
      </c>
      <c r="G415">
        <v>2</v>
      </c>
      <c r="H415" t="s">
        <v>2086</v>
      </c>
      <c r="I415" t="s">
        <v>17</v>
      </c>
      <c r="J415" t="s">
        <v>18</v>
      </c>
      <c r="K415" t="s">
        <v>43</v>
      </c>
      <c r="L415" t="s">
        <v>44</v>
      </c>
    </row>
    <row r="416" spans="1:12" x14ac:dyDescent="0.25">
      <c r="A416" t="s">
        <v>2087</v>
      </c>
      <c r="B416" s="1">
        <v>6115</v>
      </c>
      <c r="C416" t="s">
        <v>2088</v>
      </c>
      <c r="D416" t="s">
        <v>2089</v>
      </c>
      <c r="E416" t="s">
        <v>2090</v>
      </c>
      <c r="F416">
        <v>177</v>
      </c>
      <c r="G416">
        <v>2</v>
      </c>
      <c r="H416" t="s">
        <v>2091</v>
      </c>
      <c r="I416" t="s">
        <v>17</v>
      </c>
      <c r="J416" t="s">
        <v>18</v>
      </c>
      <c r="K416" t="s">
        <v>43</v>
      </c>
      <c r="L416" t="s">
        <v>44</v>
      </c>
    </row>
    <row r="417" spans="1:12" x14ac:dyDescent="0.25">
      <c r="A417" t="s">
        <v>2092</v>
      </c>
      <c r="B417" s="1">
        <v>8546</v>
      </c>
      <c r="C417" t="s">
        <v>2093</v>
      </c>
      <c r="D417" t="s">
        <v>2094</v>
      </c>
      <c r="E417" t="s">
        <v>2095</v>
      </c>
      <c r="F417">
        <v>121</v>
      </c>
      <c r="G417">
        <v>2</v>
      </c>
      <c r="H417" t="s">
        <v>2096</v>
      </c>
      <c r="I417" t="s">
        <v>17</v>
      </c>
      <c r="J417" t="s">
        <v>18</v>
      </c>
      <c r="K417" t="s">
        <v>43</v>
      </c>
      <c r="L417" t="s">
        <v>44</v>
      </c>
    </row>
    <row r="418" spans="1:12" x14ac:dyDescent="0.25">
      <c r="A418" t="s">
        <v>2097</v>
      </c>
      <c r="B418">
        <v>246</v>
      </c>
      <c r="C418" t="s">
        <v>2098</v>
      </c>
      <c r="D418" t="s">
        <v>2099</v>
      </c>
      <c r="E418" t="s">
        <v>2100</v>
      </c>
      <c r="F418" s="1">
        <v>2824</v>
      </c>
      <c r="G418">
        <v>2</v>
      </c>
      <c r="H418" t="s">
        <v>2101</v>
      </c>
      <c r="I418" t="s">
        <v>17</v>
      </c>
      <c r="J418" t="s">
        <v>18</v>
      </c>
      <c r="K418" t="s">
        <v>43</v>
      </c>
      <c r="L418" t="s">
        <v>44</v>
      </c>
    </row>
    <row r="419" spans="1:12" x14ac:dyDescent="0.25">
      <c r="A419" t="s">
        <v>2102</v>
      </c>
      <c r="B419" s="1">
        <v>16185</v>
      </c>
      <c r="C419" t="s">
        <v>2103</v>
      </c>
      <c r="D419" t="s">
        <v>2104</v>
      </c>
      <c r="E419" t="s">
        <v>2105</v>
      </c>
      <c r="F419">
        <v>260</v>
      </c>
      <c r="G419">
        <v>4</v>
      </c>
      <c r="H419" t="s">
        <v>360</v>
      </c>
      <c r="I419" t="s">
        <v>17</v>
      </c>
      <c r="J419" t="s">
        <v>18</v>
      </c>
      <c r="K419" t="s">
        <v>43</v>
      </c>
      <c r="L419" t="s">
        <v>44</v>
      </c>
    </row>
    <row r="420" spans="1:12" x14ac:dyDescent="0.25">
      <c r="A420" t="s">
        <v>2106</v>
      </c>
      <c r="B420">
        <v>966</v>
      </c>
      <c r="C420" t="s">
        <v>2107</v>
      </c>
      <c r="D420" t="s">
        <v>2107</v>
      </c>
      <c r="E420" t="s">
        <v>2108</v>
      </c>
      <c r="F420" s="1">
        <v>1134</v>
      </c>
      <c r="G420">
        <v>0</v>
      </c>
      <c r="H420" t="s">
        <v>2109</v>
      </c>
      <c r="I420" t="s">
        <v>17</v>
      </c>
      <c r="J420" t="s">
        <v>18</v>
      </c>
      <c r="K420" t="s">
        <v>43</v>
      </c>
      <c r="L420" t="s">
        <v>44</v>
      </c>
    </row>
    <row r="421" spans="1:12" x14ac:dyDescent="0.25">
      <c r="A421" t="s">
        <v>2110</v>
      </c>
      <c r="B421" s="1">
        <v>2996</v>
      </c>
      <c r="C421" t="s">
        <v>2111</v>
      </c>
      <c r="D421" t="s">
        <v>2112</v>
      </c>
      <c r="E421" t="s">
        <v>2113</v>
      </c>
      <c r="F421">
        <v>650</v>
      </c>
      <c r="G421">
        <v>3</v>
      </c>
      <c r="H421" t="s">
        <v>2114</v>
      </c>
      <c r="I421" t="s">
        <v>17</v>
      </c>
      <c r="J421" t="s">
        <v>18</v>
      </c>
      <c r="K421" t="s">
        <v>43</v>
      </c>
      <c r="L421" t="s">
        <v>44</v>
      </c>
    </row>
    <row r="422" spans="1:12" x14ac:dyDescent="0.25">
      <c r="A422" t="s">
        <v>2115</v>
      </c>
      <c r="B422" s="1">
        <v>2985</v>
      </c>
      <c r="C422" t="s">
        <v>2116</v>
      </c>
      <c r="D422" t="s">
        <v>2117</v>
      </c>
      <c r="E422" t="s">
        <v>2118</v>
      </c>
      <c r="F422" s="1">
        <v>2027</v>
      </c>
      <c r="G422">
        <v>2</v>
      </c>
      <c r="H422" t="s">
        <v>2119</v>
      </c>
      <c r="I422" t="s">
        <v>17</v>
      </c>
      <c r="J422" t="s">
        <v>18</v>
      </c>
      <c r="K422" t="s">
        <v>43</v>
      </c>
      <c r="L422" t="s">
        <v>44</v>
      </c>
    </row>
    <row r="423" spans="1:12" x14ac:dyDescent="0.25">
      <c r="A423" t="s">
        <v>2120</v>
      </c>
      <c r="B423" s="1">
        <v>270088</v>
      </c>
      <c r="C423" t="s">
        <v>2121</v>
      </c>
      <c r="D423" t="s">
        <v>2122</v>
      </c>
      <c r="E423" t="s">
        <v>2123</v>
      </c>
      <c r="F423">
        <v>371</v>
      </c>
      <c r="G423">
        <v>9</v>
      </c>
      <c r="H423" t="s">
        <v>2124</v>
      </c>
      <c r="I423" t="s">
        <v>17</v>
      </c>
      <c r="J423" t="s">
        <v>18</v>
      </c>
      <c r="K423" t="s">
        <v>43</v>
      </c>
      <c r="L423" t="s">
        <v>44</v>
      </c>
    </row>
    <row r="424" spans="1:12" x14ac:dyDescent="0.25">
      <c r="A424" t="s">
        <v>2125</v>
      </c>
      <c r="B424">
        <v>425</v>
      </c>
      <c r="C424" t="s">
        <v>2126</v>
      </c>
      <c r="D424" t="s">
        <v>2127</v>
      </c>
      <c r="E424" t="s">
        <v>2128</v>
      </c>
      <c r="F424">
        <v>113</v>
      </c>
      <c r="G424">
        <v>1</v>
      </c>
      <c r="H424" t="s">
        <v>2129</v>
      </c>
      <c r="I424" t="s">
        <v>17</v>
      </c>
      <c r="J424" t="s">
        <v>18</v>
      </c>
      <c r="K424" t="s">
        <v>43</v>
      </c>
      <c r="L424" t="s">
        <v>44</v>
      </c>
    </row>
    <row r="425" spans="1:12" x14ac:dyDescent="0.25">
      <c r="A425" t="s">
        <v>2130</v>
      </c>
      <c r="B425" s="1">
        <v>104365</v>
      </c>
      <c r="C425" t="s">
        <v>2131</v>
      </c>
      <c r="D425" t="s">
        <v>2132</v>
      </c>
      <c r="E425" t="s">
        <v>2133</v>
      </c>
      <c r="F425" s="1">
        <v>8209</v>
      </c>
      <c r="G425">
        <v>2</v>
      </c>
      <c r="H425" t="s">
        <v>2134</v>
      </c>
      <c r="I425" t="s">
        <v>17</v>
      </c>
      <c r="J425" t="s">
        <v>18</v>
      </c>
      <c r="K425" t="s">
        <v>43</v>
      </c>
      <c r="L425" t="s">
        <v>44</v>
      </c>
    </row>
    <row r="426" spans="1:12" x14ac:dyDescent="0.25">
      <c r="A426" t="s">
        <v>2135</v>
      </c>
      <c r="B426" s="1">
        <v>3244</v>
      </c>
      <c r="C426" t="s">
        <v>2136</v>
      </c>
      <c r="D426" t="s">
        <v>2137</v>
      </c>
      <c r="E426" t="s">
        <v>2138</v>
      </c>
      <c r="F426">
        <v>558</v>
      </c>
      <c r="G426">
        <v>1</v>
      </c>
      <c r="H426" t="s">
        <v>2139</v>
      </c>
      <c r="I426" t="s">
        <v>17</v>
      </c>
      <c r="J426" t="s">
        <v>18</v>
      </c>
      <c r="K426" t="s">
        <v>43</v>
      </c>
      <c r="L426" t="s">
        <v>44</v>
      </c>
    </row>
    <row r="427" spans="1:12" x14ac:dyDescent="0.25">
      <c r="A427" t="s">
        <v>2140</v>
      </c>
      <c r="B427" s="1">
        <v>1326</v>
      </c>
      <c r="C427" t="s">
        <v>2141</v>
      </c>
      <c r="D427" t="s">
        <v>2142</v>
      </c>
      <c r="E427" t="s">
        <v>2143</v>
      </c>
      <c r="F427">
        <v>61</v>
      </c>
      <c r="G427">
        <v>0</v>
      </c>
      <c r="H427" t="s">
        <v>2144</v>
      </c>
      <c r="I427" t="s">
        <v>17</v>
      </c>
      <c r="J427" t="s">
        <v>18</v>
      </c>
      <c r="K427" t="s">
        <v>43</v>
      </c>
      <c r="L427" t="s">
        <v>44</v>
      </c>
    </row>
    <row r="428" spans="1:12" x14ac:dyDescent="0.25">
      <c r="A428" t="s">
        <v>2145</v>
      </c>
      <c r="B428" s="1">
        <v>111914</v>
      </c>
      <c r="C428" t="s">
        <v>2146</v>
      </c>
      <c r="D428" t="s">
        <v>2147</v>
      </c>
      <c r="E428" t="s">
        <v>2148</v>
      </c>
      <c r="F428">
        <v>429</v>
      </c>
      <c r="G428">
        <v>6</v>
      </c>
      <c r="H428" t="s">
        <v>2149</v>
      </c>
      <c r="I428" t="s">
        <v>17</v>
      </c>
      <c r="J428" t="s">
        <v>18</v>
      </c>
      <c r="K428" t="s">
        <v>43</v>
      </c>
      <c r="L428" t="s">
        <v>44</v>
      </c>
    </row>
    <row r="429" spans="1:12" x14ac:dyDescent="0.25">
      <c r="A429" t="s">
        <v>2150</v>
      </c>
      <c r="B429" s="1">
        <v>29634</v>
      </c>
      <c r="C429" t="s">
        <v>2151</v>
      </c>
      <c r="D429" t="s">
        <v>2152</v>
      </c>
      <c r="E429" t="s">
        <v>2153</v>
      </c>
      <c r="F429" s="1">
        <v>3427</v>
      </c>
      <c r="G429">
        <v>3</v>
      </c>
      <c r="H429" t="s">
        <v>2154</v>
      </c>
      <c r="I429" t="s">
        <v>17</v>
      </c>
      <c r="J429" t="s">
        <v>18</v>
      </c>
      <c r="K429" t="s">
        <v>43</v>
      </c>
      <c r="L429" t="s">
        <v>44</v>
      </c>
    </row>
    <row r="430" spans="1:12" x14ac:dyDescent="0.25">
      <c r="A430" t="s">
        <v>2155</v>
      </c>
      <c r="B430" s="1">
        <v>17983</v>
      </c>
      <c r="C430" t="s">
        <v>2156</v>
      </c>
      <c r="D430" t="s">
        <v>2157</v>
      </c>
      <c r="E430" t="s">
        <v>2158</v>
      </c>
      <c r="F430" s="1">
        <v>1120</v>
      </c>
      <c r="G430">
        <v>2</v>
      </c>
      <c r="H430" t="s">
        <v>1409</v>
      </c>
      <c r="I430" t="s">
        <v>17</v>
      </c>
      <c r="J430" t="s">
        <v>18</v>
      </c>
      <c r="K430" t="s">
        <v>43</v>
      </c>
      <c r="L430" t="s">
        <v>44</v>
      </c>
    </row>
    <row r="431" spans="1:12" x14ac:dyDescent="0.25">
      <c r="A431" t="s">
        <v>2159</v>
      </c>
      <c r="B431" s="1">
        <v>38463</v>
      </c>
      <c r="C431" t="s">
        <v>2160</v>
      </c>
      <c r="D431" t="s">
        <v>2161</v>
      </c>
      <c r="E431" t="s">
        <v>2162</v>
      </c>
      <c r="F431">
        <v>261</v>
      </c>
      <c r="G431">
        <v>1</v>
      </c>
      <c r="H431" t="s">
        <v>2163</v>
      </c>
      <c r="I431" t="s">
        <v>17</v>
      </c>
      <c r="J431" t="s">
        <v>18</v>
      </c>
      <c r="K431" t="s">
        <v>43</v>
      </c>
      <c r="L431" t="s">
        <v>44</v>
      </c>
    </row>
    <row r="432" spans="1:12" x14ac:dyDescent="0.25">
      <c r="A432" t="s">
        <v>2164</v>
      </c>
      <c r="B432" s="1">
        <v>2801</v>
      </c>
      <c r="C432" t="s">
        <v>2165</v>
      </c>
      <c r="D432" t="s">
        <v>2166</v>
      </c>
      <c r="E432" t="s">
        <v>2167</v>
      </c>
      <c r="F432" s="1">
        <v>5930</v>
      </c>
      <c r="G432">
        <v>3</v>
      </c>
      <c r="H432" t="s">
        <v>2168</v>
      </c>
      <c r="I432" t="s">
        <v>17</v>
      </c>
      <c r="J432" t="s">
        <v>18</v>
      </c>
      <c r="K432" t="s">
        <v>43</v>
      </c>
      <c r="L432" t="s">
        <v>44</v>
      </c>
    </row>
    <row r="433" spans="1:12" x14ac:dyDescent="0.25">
      <c r="A433" t="s">
        <v>2169</v>
      </c>
      <c r="B433">
        <v>881</v>
      </c>
      <c r="C433" t="s">
        <v>2170</v>
      </c>
      <c r="D433" t="s">
        <v>2171</v>
      </c>
      <c r="E433" t="s">
        <v>2172</v>
      </c>
      <c r="F433">
        <v>81</v>
      </c>
      <c r="G433">
        <v>2</v>
      </c>
      <c r="H433" t="s">
        <v>2173</v>
      </c>
      <c r="I433" t="s">
        <v>174</v>
      </c>
      <c r="J433" t="s">
        <v>18</v>
      </c>
      <c r="K433" t="s">
        <v>43</v>
      </c>
      <c r="L433" t="s">
        <v>44</v>
      </c>
    </row>
    <row r="434" spans="1:12" x14ac:dyDescent="0.25">
      <c r="A434" t="s">
        <v>2174</v>
      </c>
      <c r="B434" s="1">
        <v>30166</v>
      </c>
      <c r="C434" t="s">
        <v>2175</v>
      </c>
      <c r="D434" t="s">
        <v>2176</v>
      </c>
      <c r="E434" t="s">
        <v>2177</v>
      </c>
      <c r="F434">
        <v>305</v>
      </c>
      <c r="G434">
        <v>3</v>
      </c>
      <c r="H434" t="s">
        <v>2178</v>
      </c>
      <c r="I434" t="s">
        <v>17</v>
      </c>
      <c r="J434" t="s">
        <v>18</v>
      </c>
      <c r="K434" t="s">
        <v>43</v>
      </c>
      <c r="L434" t="s">
        <v>44</v>
      </c>
    </row>
    <row r="435" spans="1:12" x14ac:dyDescent="0.25">
      <c r="A435" t="s">
        <v>2179</v>
      </c>
      <c r="B435">
        <v>881</v>
      </c>
      <c r="C435" t="s">
        <v>2180</v>
      </c>
      <c r="D435" t="s">
        <v>2181</v>
      </c>
      <c r="E435" t="s">
        <v>2182</v>
      </c>
      <c r="F435" s="1">
        <v>5216</v>
      </c>
      <c r="G435">
        <v>1</v>
      </c>
      <c r="H435" t="s">
        <v>1892</v>
      </c>
      <c r="I435" t="s">
        <v>17</v>
      </c>
      <c r="J435" t="s">
        <v>18</v>
      </c>
      <c r="K435" t="s">
        <v>43</v>
      </c>
      <c r="L435" t="s">
        <v>44</v>
      </c>
    </row>
    <row r="436" spans="1:12" x14ac:dyDescent="0.25">
      <c r="A436" t="s">
        <v>2183</v>
      </c>
      <c r="B436">
        <v>210</v>
      </c>
      <c r="C436" t="s">
        <v>2184</v>
      </c>
      <c r="D436" t="s">
        <v>2185</v>
      </c>
      <c r="E436" t="s">
        <v>2186</v>
      </c>
      <c r="F436" s="1">
        <v>2911</v>
      </c>
      <c r="G436">
        <v>1</v>
      </c>
      <c r="H436" t="s">
        <v>2187</v>
      </c>
      <c r="I436" t="s">
        <v>17</v>
      </c>
      <c r="J436" t="s">
        <v>18</v>
      </c>
      <c r="K436" t="s">
        <v>43</v>
      </c>
      <c r="L436" t="s">
        <v>44</v>
      </c>
    </row>
    <row r="437" spans="1:12" x14ac:dyDescent="0.25">
      <c r="A437" t="s">
        <v>2188</v>
      </c>
      <c r="B437" s="1">
        <v>4253</v>
      </c>
      <c r="C437" t="s">
        <v>2189</v>
      </c>
      <c r="D437" t="s">
        <v>2190</v>
      </c>
      <c r="E437" t="s">
        <v>2191</v>
      </c>
      <c r="F437">
        <v>621</v>
      </c>
      <c r="G437">
        <v>1</v>
      </c>
      <c r="H437" t="s">
        <v>2192</v>
      </c>
      <c r="I437" t="s">
        <v>17</v>
      </c>
      <c r="J437" t="s">
        <v>18</v>
      </c>
      <c r="K437" t="s">
        <v>43</v>
      </c>
      <c r="L437" t="s">
        <v>44</v>
      </c>
    </row>
    <row r="438" spans="1:12" x14ac:dyDescent="0.25">
      <c r="A438" t="s">
        <v>2193</v>
      </c>
      <c r="B438" s="1">
        <v>37090</v>
      </c>
      <c r="C438" t="s">
        <v>2194</v>
      </c>
      <c r="D438" t="s">
        <v>2195</v>
      </c>
      <c r="E438" t="s">
        <v>2196</v>
      </c>
      <c r="F438">
        <v>622</v>
      </c>
      <c r="G438">
        <v>2</v>
      </c>
      <c r="H438" t="s">
        <v>2197</v>
      </c>
      <c r="I438" t="s">
        <v>17</v>
      </c>
      <c r="J438" t="s">
        <v>18</v>
      </c>
      <c r="K438" t="s">
        <v>43</v>
      </c>
      <c r="L438" t="s">
        <v>44</v>
      </c>
    </row>
    <row r="439" spans="1:12" x14ac:dyDescent="0.25">
      <c r="A439" t="s">
        <v>2198</v>
      </c>
      <c r="B439" s="1">
        <v>8035</v>
      </c>
      <c r="C439" t="s">
        <v>2199</v>
      </c>
      <c r="D439" t="s">
        <v>2200</v>
      </c>
      <c r="E439" t="s">
        <v>1498</v>
      </c>
      <c r="F439">
        <v>145</v>
      </c>
      <c r="G439">
        <v>1</v>
      </c>
      <c r="H439" t="s">
        <v>1499</v>
      </c>
      <c r="I439" t="s">
        <v>17</v>
      </c>
      <c r="J439" t="s">
        <v>18</v>
      </c>
      <c r="K439" t="s">
        <v>43</v>
      </c>
      <c r="L439" t="s">
        <v>44</v>
      </c>
    </row>
    <row r="440" spans="1:12" x14ac:dyDescent="0.25">
      <c r="A440" t="s">
        <v>2201</v>
      </c>
      <c r="B440" s="1">
        <v>1458</v>
      </c>
      <c r="C440" t="s">
        <v>2202</v>
      </c>
      <c r="D440" t="s">
        <v>2203</v>
      </c>
      <c r="E440" t="s">
        <v>2204</v>
      </c>
      <c r="F440">
        <v>373</v>
      </c>
      <c r="G440">
        <v>3</v>
      </c>
      <c r="H440" t="s">
        <v>2205</v>
      </c>
      <c r="I440" t="s">
        <v>17</v>
      </c>
      <c r="J440" t="s">
        <v>18</v>
      </c>
      <c r="K440" t="s">
        <v>43</v>
      </c>
      <c r="L440" t="s">
        <v>282</v>
      </c>
    </row>
    <row r="441" spans="1:12" x14ac:dyDescent="0.25">
      <c r="A441" t="s">
        <v>2206</v>
      </c>
      <c r="B441" s="1">
        <v>16428</v>
      </c>
      <c r="C441" t="s">
        <v>2207</v>
      </c>
      <c r="D441" t="s">
        <v>2208</v>
      </c>
      <c r="E441" t="s">
        <v>2209</v>
      </c>
      <c r="F441">
        <v>345</v>
      </c>
      <c r="G441">
        <v>2</v>
      </c>
      <c r="H441" t="s">
        <v>2210</v>
      </c>
      <c r="I441" t="s">
        <v>17</v>
      </c>
      <c r="J441" t="s">
        <v>18</v>
      </c>
      <c r="K441" t="s">
        <v>43</v>
      </c>
      <c r="L441" t="s">
        <v>282</v>
      </c>
    </row>
    <row r="442" spans="1:12" x14ac:dyDescent="0.25">
      <c r="A442" t="s">
        <v>2211</v>
      </c>
      <c r="B442" s="1">
        <v>5442</v>
      </c>
      <c r="C442" t="s">
        <v>2212</v>
      </c>
      <c r="D442" t="s">
        <v>2213</v>
      </c>
      <c r="E442" t="s">
        <v>2214</v>
      </c>
      <c r="F442">
        <v>961</v>
      </c>
      <c r="G442">
        <v>2</v>
      </c>
      <c r="H442" t="s">
        <v>2215</v>
      </c>
      <c r="I442" t="s">
        <v>17</v>
      </c>
      <c r="J442" t="s">
        <v>18</v>
      </c>
      <c r="K442" t="s">
        <v>43</v>
      </c>
      <c r="L442" t="s">
        <v>282</v>
      </c>
    </row>
    <row r="443" spans="1:12" x14ac:dyDescent="0.25">
      <c r="A443" t="s">
        <v>2216</v>
      </c>
      <c r="B443" s="1">
        <v>11137</v>
      </c>
      <c r="C443" t="s">
        <v>2217</v>
      </c>
      <c r="D443" t="s">
        <v>2218</v>
      </c>
      <c r="E443" t="s">
        <v>2219</v>
      </c>
      <c r="F443" s="1">
        <v>1627</v>
      </c>
      <c r="G443">
        <v>3</v>
      </c>
      <c r="H443" t="s">
        <v>2220</v>
      </c>
      <c r="I443" t="s">
        <v>17</v>
      </c>
      <c r="J443" t="s">
        <v>18</v>
      </c>
      <c r="K443" t="s">
        <v>43</v>
      </c>
      <c r="L443" t="s">
        <v>282</v>
      </c>
    </row>
    <row r="444" spans="1:12" x14ac:dyDescent="0.25">
      <c r="A444" t="s">
        <v>2221</v>
      </c>
      <c r="B444" s="1">
        <v>5326</v>
      </c>
      <c r="C444" t="s">
        <v>2222</v>
      </c>
      <c r="D444" t="s">
        <v>2223</v>
      </c>
      <c r="E444" t="s">
        <v>2224</v>
      </c>
      <c r="F444">
        <v>151</v>
      </c>
      <c r="G444">
        <v>1</v>
      </c>
      <c r="H444" t="s">
        <v>2225</v>
      </c>
      <c r="I444" t="s">
        <v>17</v>
      </c>
      <c r="J444" t="s">
        <v>18</v>
      </c>
      <c r="K444" t="s">
        <v>43</v>
      </c>
      <c r="L444" t="s">
        <v>282</v>
      </c>
    </row>
    <row r="445" spans="1:12" x14ac:dyDescent="0.25">
      <c r="A445" t="s">
        <v>2226</v>
      </c>
      <c r="B445" s="1">
        <v>23946</v>
      </c>
      <c r="C445" t="s">
        <v>2227</v>
      </c>
      <c r="D445" t="s">
        <v>2228</v>
      </c>
      <c r="E445" t="s">
        <v>2229</v>
      </c>
      <c r="F445">
        <v>71</v>
      </c>
      <c r="G445">
        <v>3</v>
      </c>
      <c r="H445" t="s">
        <v>2230</v>
      </c>
      <c r="I445" t="s">
        <v>17</v>
      </c>
      <c r="J445" t="s">
        <v>18</v>
      </c>
      <c r="K445" t="s">
        <v>43</v>
      </c>
      <c r="L445" t="s">
        <v>282</v>
      </c>
    </row>
    <row r="446" spans="1:12" x14ac:dyDescent="0.25">
      <c r="A446" t="s">
        <v>2231</v>
      </c>
      <c r="B446" s="1">
        <v>1881</v>
      </c>
      <c r="C446" t="s">
        <v>2232</v>
      </c>
      <c r="D446" t="s">
        <v>2233</v>
      </c>
      <c r="E446" t="s">
        <v>2234</v>
      </c>
      <c r="F446" s="1">
        <v>1522</v>
      </c>
      <c r="G446">
        <v>1</v>
      </c>
      <c r="H446" t="s">
        <v>2235</v>
      </c>
      <c r="I446" t="s">
        <v>174</v>
      </c>
      <c r="J446" t="s">
        <v>18</v>
      </c>
      <c r="K446" t="s">
        <v>43</v>
      </c>
      <c r="L446" t="s">
        <v>282</v>
      </c>
    </row>
    <row r="447" spans="1:12" x14ac:dyDescent="0.25">
      <c r="A447" t="s">
        <v>2236</v>
      </c>
      <c r="B447" s="1">
        <v>15157</v>
      </c>
      <c r="C447" t="s">
        <v>2237</v>
      </c>
      <c r="D447" t="s">
        <v>2238</v>
      </c>
      <c r="E447" t="s">
        <v>2239</v>
      </c>
      <c r="F447" s="1">
        <v>6852</v>
      </c>
      <c r="G447">
        <v>2</v>
      </c>
      <c r="H447" t="s">
        <v>2240</v>
      </c>
      <c r="I447" t="s">
        <v>17</v>
      </c>
      <c r="J447" t="s">
        <v>18</v>
      </c>
      <c r="K447" t="s">
        <v>43</v>
      </c>
      <c r="L447" t="s">
        <v>282</v>
      </c>
    </row>
    <row r="448" spans="1:12" x14ac:dyDescent="0.25">
      <c r="A448" t="s">
        <v>2241</v>
      </c>
      <c r="B448" s="1">
        <v>10038</v>
      </c>
      <c r="C448" t="s">
        <v>2242</v>
      </c>
      <c r="D448" t="s">
        <v>2243</v>
      </c>
      <c r="E448" t="s">
        <v>2244</v>
      </c>
      <c r="F448" s="1">
        <v>2921</v>
      </c>
      <c r="G448">
        <v>3</v>
      </c>
      <c r="H448" t="s">
        <v>2245</v>
      </c>
      <c r="I448" t="s">
        <v>17</v>
      </c>
      <c r="J448" t="s">
        <v>18</v>
      </c>
      <c r="K448" t="s">
        <v>43</v>
      </c>
      <c r="L448" t="s">
        <v>282</v>
      </c>
    </row>
    <row r="449" spans="1:12" x14ac:dyDescent="0.25">
      <c r="A449" t="s">
        <v>2246</v>
      </c>
      <c r="B449" s="1">
        <v>2344</v>
      </c>
      <c r="C449" t="s">
        <v>2247</v>
      </c>
      <c r="D449" t="s">
        <v>2248</v>
      </c>
      <c r="E449" t="s">
        <v>2249</v>
      </c>
      <c r="F449">
        <v>1</v>
      </c>
      <c r="G449">
        <v>2</v>
      </c>
      <c r="H449" t="s">
        <v>2250</v>
      </c>
      <c r="I449" t="s">
        <v>17</v>
      </c>
      <c r="J449" t="s">
        <v>18</v>
      </c>
      <c r="K449" t="s">
        <v>43</v>
      </c>
      <c r="L449" t="s">
        <v>282</v>
      </c>
    </row>
    <row r="450" spans="1:12" x14ac:dyDescent="0.25">
      <c r="A450" t="s">
        <v>2251</v>
      </c>
      <c r="B450" s="1">
        <v>4309</v>
      </c>
      <c r="C450" t="s">
        <v>2252</v>
      </c>
      <c r="D450" t="s">
        <v>2253</v>
      </c>
      <c r="E450" t="s">
        <v>2254</v>
      </c>
      <c r="F450" s="1">
        <v>1537</v>
      </c>
      <c r="G450">
        <v>3</v>
      </c>
      <c r="H450" t="s">
        <v>2255</v>
      </c>
      <c r="I450" t="s">
        <v>17</v>
      </c>
      <c r="J450" t="s">
        <v>18</v>
      </c>
      <c r="K450" t="s">
        <v>43</v>
      </c>
      <c r="L450" t="s">
        <v>282</v>
      </c>
    </row>
    <row r="451" spans="1:12" x14ac:dyDescent="0.25">
      <c r="A451" t="s">
        <v>2256</v>
      </c>
      <c r="B451" s="1">
        <v>11660</v>
      </c>
      <c r="C451" t="s">
        <v>2257</v>
      </c>
      <c r="D451" t="s">
        <v>2258</v>
      </c>
      <c r="E451" t="s">
        <v>2259</v>
      </c>
      <c r="F451" s="1">
        <v>1011</v>
      </c>
      <c r="G451">
        <v>1</v>
      </c>
      <c r="H451" t="s">
        <v>2260</v>
      </c>
      <c r="I451" t="s">
        <v>17</v>
      </c>
      <c r="J451" t="s">
        <v>18</v>
      </c>
      <c r="K451" t="s">
        <v>43</v>
      </c>
      <c r="L451" t="s">
        <v>282</v>
      </c>
    </row>
    <row r="452" spans="1:12" x14ac:dyDescent="0.25">
      <c r="A452" t="s">
        <v>2261</v>
      </c>
      <c r="B452" s="1">
        <v>68830</v>
      </c>
      <c r="C452" t="s">
        <v>2262</v>
      </c>
      <c r="D452" t="s">
        <v>2263</v>
      </c>
      <c r="E452" t="s">
        <v>2264</v>
      </c>
      <c r="F452">
        <v>707</v>
      </c>
      <c r="G452">
        <v>1</v>
      </c>
      <c r="H452" t="s">
        <v>148</v>
      </c>
      <c r="I452" t="s">
        <v>17</v>
      </c>
      <c r="J452" t="s">
        <v>18</v>
      </c>
      <c r="K452" t="s">
        <v>43</v>
      </c>
      <c r="L452" t="s">
        <v>282</v>
      </c>
    </row>
    <row r="453" spans="1:12" x14ac:dyDescent="0.25">
      <c r="A453" t="s">
        <v>2265</v>
      </c>
      <c r="B453" s="1">
        <v>30000</v>
      </c>
      <c r="C453" t="s">
        <v>2266</v>
      </c>
      <c r="D453" t="s">
        <v>2267</v>
      </c>
      <c r="E453" t="s">
        <v>2268</v>
      </c>
      <c r="F453">
        <v>459</v>
      </c>
      <c r="G453">
        <v>1</v>
      </c>
      <c r="H453" t="s">
        <v>986</v>
      </c>
      <c r="I453" t="s">
        <v>17</v>
      </c>
      <c r="J453" t="s">
        <v>18</v>
      </c>
      <c r="K453" t="s">
        <v>43</v>
      </c>
      <c r="L453" t="s">
        <v>282</v>
      </c>
    </row>
    <row r="454" spans="1:12" x14ac:dyDescent="0.25">
      <c r="A454" t="s">
        <v>2269</v>
      </c>
      <c r="B454" s="1">
        <v>29808</v>
      </c>
      <c r="C454" t="s">
        <v>2270</v>
      </c>
      <c r="D454" t="s">
        <v>2271</v>
      </c>
      <c r="E454" t="s">
        <v>2272</v>
      </c>
      <c r="F454" s="1">
        <v>1246</v>
      </c>
      <c r="G454">
        <v>3</v>
      </c>
      <c r="H454" t="s">
        <v>2273</v>
      </c>
      <c r="I454" t="s">
        <v>17</v>
      </c>
      <c r="J454" t="s">
        <v>18</v>
      </c>
      <c r="K454" t="s">
        <v>43</v>
      </c>
      <c r="L454" t="s">
        <v>282</v>
      </c>
    </row>
    <row r="455" spans="1:12" x14ac:dyDescent="0.25">
      <c r="A455" t="s">
        <v>2274</v>
      </c>
      <c r="B455" s="1">
        <v>3302</v>
      </c>
      <c r="C455" t="s">
        <v>2275</v>
      </c>
      <c r="D455" t="s">
        <v>2276</v>
      </c>
      <c r="E455" t="s">
        <v>2277</v>
      </c>
      <c r="F455" s="1">
        <v>7829</v>
      </c>
      <c r="G455">
        <v>6</v>
      </c>
      <c r="H455" t="s">
        <v>2278</v>
      </c>
      <c r="I455" t="s">
        <v>17</v>
      </c>
      <c r="J455" t="s">
        <v>18</v>
      </c>
      <c r="K455" t="s">
        <v>43</v>
      </c>
      <c r="L455" t="s">
        <v>282</v>
      </c>
    </row>
    <row r="456" spans="1:12" x14ac:dyDescent="0.25">
      <c r="A456" t="s">
        <v>2279</v>
      </c>
      <c r="B456" s="1">
        <v>3258</v>
      </c>
      <c r="C456" t="s">
        <v>2280</v>
      </c>
      <c r="D456" t="s">
        <v>2281</v>
      </c>
      <c r="E456" t="s">
        <v>2282</v>
      </c>
      <c r="F456">
        <v>895</v>
      </c>
      <c r="G456">
        <v>1</v>
      </c>
      <c r="H456" t="s">
        <v>2283</v>
      </c>
      <c r="I456" t="s">
        <v>17</v>
      </c>
      <c r="J456" t="s">
        <v>18</v>
      </c>
      <c r="K456" t="s">
        <v>43</v>
      </c>
      <c r="L456" t="s">
        <v>282</v>
      </c>
    </row>
    <row r="457" spans="1:12" x14ac:dyDescent="0.25">
      <c r="A457" t="s">
        <v>2284</v>
      </c>
      <c r="B457" s="1">
        <v>41144</v>
      </c>
      <c r="C457" t="s">
        <v>2285</v>
      </c>
      <c r="D457" t="s">
        <v>2286</v>
      </c>
      <c r="E457" t="s">
        <v>2287</v>
      </c>
      <c r="F457">
        <v>967</v>
      </c>
      <c r="G457">
        <v>5</v>
      </c>
      <c r="H457" t="s">
        <v>2288</v>
      </c>
      <c r="I457" t="s">
        <v>17</v>
      </c>
      <c r="J457" t="s">
        <v>18</v>
      </c>
      <c r="K457" t="s">
        <v>43</v>
      </c>
      <c r="L457" t="s">
        <v>282</v>
      </c>
    </row>
    <row r="458" spans="1:12" x14ac:dyDescent="0.25">
      <c r="A458" t="s">
        <v>2289</v>
      </c>
      <c r="B458" s="1">
        <v>1094</v>
      </c>
      <c r="C458" t="s">
        <v>2290</v>
      </c>
      <c r="D458" t="s">
        <v>2291</v>
      </c>
      <c r="E458" t="s">
        <v>2292</v>
      </c>
      <c r="F458">
        <v>169</v>
      </c>
      <c r="G458">
        <v>1</v>
      </c>
      <c r="H458" t="s">
        <v>2293</v>
      </c>
      <c r="I458" t="s">
        <v>17</v>
      </c>
      <c r="J458" t="s">
        <v>18</v>
      </c>
      <c r="K458" t="s">
        <v>43</v>
      </c>
      <c r="L458" t="s">
        <v>282</v>
      </c>
    </row>
    <row r="459" spans="1:12" x14ac:dyDescent="0.25">
      <c r="A459" t="s">
        <v>2294</v>
      </c>
      <c r="B459" s="1">
        <v>22442</v>
      </c>
      <c r="C459" t="s">
        <v>2295</v>
      </c>
      <c r="D459" t="s">
        <v>2296</v>
      </c>
      <c r="E459" t="s">
        <v>2297</v>
      </c>
      <c r="F459" s="1">
        <v>1601</v>
      </c>
      <c r="G459">
        <v>2</v>
      </c>
      <c r="H459" t="s">
        <v>2298</v>
      </c>
      <c r="I459" t="s">
        <v>17</v>
      </c>
      <c r="J459" t="s">
        <v>18</v>
      </c>
      <c r="K459" t="s">
        <v>43</v>
      </c>
      <c r="L459" t="s">
        <v>282</v>
      </c>
    </row>
    <row r="460" spans="1:12" x14ac:dyDescent="0.25">
      <c r="A460" t="s">
        <v>2299</v>
      </c>
      <c r="B460" s="1">
        <v>6248</v>
      </c>
      <c r="C460" t="s">
        <v>2300</v>
      </c>
      <c r="D460" t="s">
        <v>2301</v>
      </c>
      <c r="E460" t="s">
        <v>2302</v>
      </c>
      <c r="F460">
        <v>98</v>
      </c>
      <c r="G460">
        <v>2</v>
      </c>
      <c r="H460" t="s">
        <v>2303</v>
      </c>
      <c r="I460" t="s">
        <v>91</v>
      </c>
      <c r="J460" t="s">
        <v>18</v>
      </c>
      <c r="K460" t="s">
        <v>43</v>
      </c>
      <c r="L460" t="s">
        <v>282</v>
      </c>
    </row>
    <row r="461" spans="1:12" x14ac:dyDescent="0.25">
      <c r="A461" t="s">
        <v>2304</v>
      </c>
      <c r="B461" s="1">
        <v>8826</v>
      </c>
      <c r="C461" t="s">
        <v>2305</v>
      </c>
      <c r="D461" t="s">
        <v>2306</v>
      </c>
      <c r="E461" t="s">
        <v>2307</v>
      </c>
      <c r="F461" s="1">
        <v>5262</v>
      </c>
      <c r="G461">
        <v>5</v>
      </c>
      <c r="H461" t="s">
        <v>2308</v>
      </c>
      <c r="I461" t="s">
        <v>17</v>
      </c>
      <c r="J461" t="s">
        <v>18</v>
      </c>
      <c r="K461" t="s">
        <v>43</v>
      </c>
      <c r="L461" t="s">
        <v>282</v>
      </c>
    </row>
    <row r="462" spans="1:12" x14ac:dyDescent="0.25">
      <c r="A462" t="s">
        <v>2309</v>
      </c>
      <c r="B462" s="1">
        <v>20310</v>
      </c>
      <c r="C462" t="s">
        <v>2310</v>
      </c>
      <c r="D462" t="s">
        <v>2311</v>
      </c>
      <c r="E462" t="s">
        <v>2312</v>
      </c>
      <c r="F462" s="1">
        <v>5956</v>
      </c>
      <c r="G462">
        <v>5</v>
      </c>
      <c r="H462" t="s">
        <v>411</v>
      </c>
      <c r="I462" t="s">
        <v>17</v>
      </c>
      <c r="J462" t="s">
        <v>18</v>
      </c>
      <c r="K462" t="s">
        <v>43</v>
      </c>
      <c r="L462" t="s">
        <v>282</v>
      </c>
    </row>
    <row r="463" spans="1:12" x14ac:dyDescent="0.25">
      <c r="A463" t="s">
        <v>2313</v>
      </c>
      <c r="B463" s="1">
        <v>7378</v>
      </c>
      <c r="C463" t="s">
        <v>2314</v>
      </c>
      <c r="D463" t="s">
        <v>2315</v>
      </c>
      <c r="E463" t="s">
        <v>2316</v>
      </c>
      <c r="F463" s="1">
        <v>7060</v>
      </c>
      <c r="G463">
        <v>4</v>
      </c>
      <c r="H463" t="s">
        <v>2317</v>
      </c>
      <c r="I463" t="s">
        <v>17</v>
      </c>
      <c r="J463" t="s">
        <v>18</v>
      </c>
      <c r="K463" t="s">
        <v>43</v>
      </c>
      <c r="L463" t="s">
        <v>282</v>
      </c>
    </row>
    <row r="464" spans="1:12" x14ac:dyDescent="0.25">
      <c r="A464" t="s">
        <v>2318</v>
      </c>
      <c r="B464" s="1">
        <v>15992</v>
      </c>
      <c r="C464" t="s">
        <v>2319</v>
      </c>
      <c r="D464" t="s">
        <v>2320</v>
      </c>
      <c r="E464" t="s">
        <v>2321</v>
      </c>
      <c r="F464" s="1">
        <v>1669</v>
      </c>
      <c r="G464">
        <v>1</v>
      </c>
      <c r="H464" t="s">
        <v>2322</v>
      </c>
      <c r="I464" t="s">
        <v>174</v>
      </c>
      <c r="J464" t="s">
        <v>18</v>
      </c>
      <c r="K464" t="s">
        <v>43</v>
      </c>
      <c r="L464" t="s">
        <v>282</v>
      </c>
    </row>
    <row r="465" spans="1:12" x14ac:dyDescent="0.25">
      <c r="A465" t="s">
        <v>2323</v>
      </c>
      <c r="B465" s="1">
        <v>1988</v>
      </c>
      <c r="C465" t="s">
        <v>2324</v>
      </c>
      <c r="D465" t="s">
        <v>2325</v>
      </c>
      <c r="E465" t="s">
        <v>2326</v>
      </c>
      <c r="F465">
        <v>151</v>
      </c>
      <c r="G465">
        <v>2</v>
      </c>
      <c r="H465" t="s">
        <v>2327</v>
      </c>
      <c r="I465" t="s">
        <v>174</v>
      </c>
      <c r="J465" t="s">
        <v>18</v>
      </c>
      <c r="K465" t="s">
        <v>43</v>
      </c>
      <c r="L465" t="s">
        <v>282</v>
      </c>
    </row>
    <row r="466" spans="1:12" x14ac:dyDescent="0.25">
      <c r="A466" t="s">
        <v>2328</v>
      </c>
      <c r="B466" s="1">
        <v>1422</v>
      </c>
      <c r="C466" t="s">
        <v>2329</v>
      </c>
      <c r="D466" t="s">
        <v>2330</v>
      </c>
      <c r="E466" t="s">
        <v>2331</v>
      </c>
      <c r="F466">
        <v>195</v>
      </c>
      <c r="G466">
        <v>2</v>
      </c>
      <c r="H466" t="s">
        <v>2332</v>
      </c>
      <c r="I466" t="s">
        <v>17</v>
      </c>
      <c r="J466" t="s">
        <v>18</v>
      </c>
      <c r="K466" t="s">
        <v>43</v>
      </c>
      <c r="L466" t="s">
        <v>282</v>
      </c>
    </row>
    <row r="467" spans="1:12" x14ac:dyDescent="0.25">
      <c r="A467" t="s">
        <v>2333</v>
      </c>
      <c r="B467" s="1">
        <v>11831</v>
      </c>
      <c r="C467" t="s">
        <v>2334</v>
      </c>
      <c r="D467" t="s">
        <v>2335</v>
      </c>
      <c r="E467" t="s">
        <v>2336</v>
      </c>
      <c r="F467">
        <v>232</v>
      </c>
      <c r="G467">
        <v>2</v>
      </c>
      <c r="H467" t="s">
        <v>2337</v>
      </c>
      <c r="I467" t="s">
        <v>17</v>
      </c>
      <c r="J467" t="s">
        <v>18</v>
      </c>
      <c r="K467" t="s">
        <v>43</v>
      </c>
      <c r="L467" t="s">
        <v>282</v>
      </c>
    </row>
    <row r="468" spans="1:12" x14ac:dyDescent="0.25">
      <c r="A468" t="s">
        <v>2338</v>
      </c>
      <c r="B468" s="1">
        <v>8040</v>
      </c>
      <c r="C468" t="s">
        <v>2339</v>
      </c>
      <c r="D468" t="s">
        <v>2340</v>
      </c>
      <c r="E468" t="s">
        <v>2341</v>
      </c>
      <c r="F468">
        <v>240</v>
      </c>
      <c r="G468">
        <v>3</v>
      </c>
      <c r="H468" t="s">
        <v>1083</v>
      </c>
      <c r="I468" t="s">
        <v>17</v>
      </c>
      <c r="J468" t="s">
        <v>18</v>
      </c>
      <c r="K468" t="s">
        <v>43</v>
      </c>
      <c r="L468" t="s">
        <v>282</v>
      </c>
    </row>
    <row r="469" spans="1:12" x14ac:dyDescent="0.25">
      <c r="A469" t="s">
        <v>2342</v>
      </c>
      <c r="B469" s="1">
        <v>114935</v>
      </c>
      <c r="C469" t="s">
        <v>2343</v>
      </c>
      <c r="D469" t="s">
        <v>2344</v>
      </c>
      <c r="E469" t="s">
        <v>2345</v>
      </c>
      <c r="F469">
        <v>133</v>
      </c>
      <c r="G469">
        <v>6</v>
      </c>
      <c r="H469" t="s">
        <v>2346</v>
      </c>
      <c r="I469" t="s">
        <v>17</v>
      </c>
      <c r="J469" t="s">
        <v>18</v>
      </c>
      <c r="K469" t="s">
        <v>43</v>
      </c>
      <c r="L469" t="s">
        <v>282</v>
      </c>
    </row>
    <row r="470" spans="1:12" x14ac:dyDescent="0.25">
      <c r="A470" t="s">
        <v>2347</v>
      </c>
      <c r="B470" s="1">
        <v>2351</v>
      </c>
      <c r="C470" t="s">
        <v>2348</v>
      </c>
      <c r="D470" t="s">
        <v>2349</v>
      </c>
      <c r="E470" t="s">
        <v>2350</v>
      </c>
      <c r="F470">
        <v>255</v>
      </c>
      <c r="G470">
        <v>2</v>
      </c>
      <c r="H470" t="s">
        <v>1529</v>
      </c>
      <c r="I470" t="s">
        <v>17</v>
      </c>
      <c r="J470" t="s">
        <v>18</v>
      </c>
      <c r="K470" t="s">
        <v>43</v>
      </c>
      <c r="L470" t="s">
        <v>282</v>
      </c>
    </row>
    <row r="471" spans="1:12" x14ac:dyDescent="0.25">
      <c r="A471" t="s">
        <v>2351</v>
      </c>
      <c r="B471" s="1">
        <v>39369</v>
      </c>
      <c r="C471" t="s">
        <v>2352</v>
      </c>
      <c r="D471" t="s">
        <v>2353</v>
      </c>
      <c r="E471" t="s">
        <v>2354</v>
      </c>
      <c r="F471" s="1">
        <v>4209</v>
      </c>
      <c r="G471">
        <v>2</v>
      </c>
      <c r="H471" t="s">
        <v>2355</v>
      </c>
      <c r="I471" t="s">
        <v>17</v>
      </c>
      <c r="J471" t="s">
        <v>18</v>
      </c>
      <c r="K471" t="s">
        <v>43</v>
      </c>
      <c r="L471" t="s">
        <v>282</v>
      </c>
    </row>
    <row r="472" spans="1:12" x14ac:dyDescent="0.25">
      <c r="A472" t="s">
        <v>2356</v>
      </c>
      <c r="B472" s="1">
        <v>15746</v>
      </c>
      <c r="C472" t="s">
        <v>2357</v>
      </c>
      <c r="D472" t="s">
        <v>2358</v>
      </c>
      <c r="E472" t="s">
        <v>2359</v>
      </c>
      <c r="F472" s="1">
        <v>3807</v>
      </c>
      <c r="G472">
        <v>1</v>
      </c>
      <c r="H472" t="s">
        <v>2360</v>
      </c>
      <c r="I472" t="s">
        <v>17</v>
      </c>
      <c r="J472" t="s">
        <v>18</v>
      </c>
      <c r="K472" t="s">
        <v>43</v>
      </c>
      <c r="L472" t="s">
        <v>282</v>
      </c>
    </row>
    <row r="473" spans="1:12" x14ac:dyDescent="0.25">
      <c r="A473" t="s">
        <v>2361</v>
      </c>
      <c r="B473" s="1">
        <v>7016</v>
      </c>
      <c r="C473" t="s">
        <v>2362</v>
      </c>
      <c r="D473" t="s">
        <v>2363</v>
      </c>
      <c r="E473" t="s">
        <v>2364</v>
      </c>
      <c r="F473">
        <v>769</v>
      </c>
      <c r="G473">
        <v>1</v>
      </c>
      <c r="H473" t="s">
        <v>2365</v>
      </c>
      <c r="I473" t="s">
        <v>17</v>
      </c>
      <c r="J473" t="s">
        <v>18</v>
      </c>
      <c r="K473" t="s">
        <v>43</v>
      </c>
      <c r="L473" t="s">
        <v>282</v>
      </c>
    </row>
    <row r="474" spans="1:12" x14ac:dyDescent="0.25">
      <c r="A474" t="s">
        <v>2366</v>
      </c>
      <c r="B474" s="1">
        <v>9098</v>
      </c>
      <c r="C474" t="s">
        <v>2367</v>
      </c>
      <c r="D474" t="s">
        <v>2368</v>
      </c>
      <c r="E474" t="s">
        <v>2369</v>
      </c>
      <c r="F474" s="1">
        <v>4456</v>
      </c>
      <c r="G474">
        <v>1</v>
      </c>
      <c r="H474" t="s">
        <v>2370</v>
      </c>
      <c r="I474" t="s">
        <v>17</v>
      </c>
      <c r="J474" t="s">
        <v>18</v>
      </c>
      <c r="K474" t="s">
        <v>43</v>
      </c>
      <c r="L474" t="s">
        <v>282</v>
      </c>
    </row>
    <row r="475" spans="1:12" x14ac:dyDescent="0.25">
      <c r="A475" t="s">
        <v>2371</v>
      </c>
      <c r="B475" s="1">
        <v>11331</v>
      </c>
      <c r="C475" t="s">
        <v>2372</v>
      </c>
      <c r="D475" t="s">
        <v>2373</v>
      </c>
      <c r="E475" t="s">
        <v>2374</v>
      </c>
      <c r="F475" s="1">
        <v>3634</v>
      </c>
      <c r="G475">
        <v>5</v>
      </c>
      <c r="H475" t="s">
        <v>647</v>
      </c>
      <c r="I475" t="s">
        <v>174</v>
      </c>
      <c r="J475" t="s">
        <v>18</v>
      </c>
      <c r="K475" t="s">
        <v>43</v>
      </c>
      <c r="L475" t="s">
        <v>282</v>
      </c>
    </row>
    <row r="476" spans="1:12" x14ac:dyDescent="0.25">
      <c r="A476" t="s">
        <v>2375</v>
      </c>
      <c r="B476" s="1">
        <v>24809</v>
      </c>
      <c r="C476" t="s">
        <v>2376</v>
      </c>
      <c r="D476" t="s">
        <v>2377</v>
      </c>
      <c r="E476" t="s">
        <v>2378</v>
      </c>
      <c r="F476">
        <v>621</v>
      </c>
      <c r="G476">
        <v>2</v>
      </c>
      <c r="H476" t="s">
        <v>2379</v>
      </c>
      <c r="I476" t="s">
        <v>17</v>
      </c>
      <c r="J476" t="s">
        <v>18</v>
      </c>
      <c r="K476" t="s">
        <v>43</v>
      </c>
      <c r="L476" t="s">
        <v>282</v>
      </c>
    </row>
    <row r="477" spans="1:12" x14ac:dyDescent="0.25">
      <c r="A477" t="s">
        <v>2380</v>
      </c>
      <c r="B477" s="1">
        <v>1929</v>
      </c>
      <c r="C477" t="s">
        <v>2381</v>
      </c>
      <c r="D477" t="s">
        <v>2382</v>
      </c>
      <c r="G477">
        <v>3</v>
      </c>
      <c r="H477" t="s">
        <v>1083</v>
      </c>
      <c r="I477" t="s">
        <v>17</v>
      </c>
      <c r="J477" t="s">
        <v>18</v>
      </c>
      <c r="K477" t="s">
        <v>43</v>
      </c>
      <c r="L477" t="s">
        <v>282</v>
      </c>
    </row>
    <row r="478" spans="1:12" x14ac:dyDescent="0.25">
      <c r="A478" t="s">
        <v>2383</v>
      </c>
      <c r="B478">
        <v>568</v>
      </c>
      <c r="C478" t="s">
        <v>2384</v>
      </c>
      <c r="D478" t="s">
        <v>2385</v>
      </c>
      <c r="E478" t="s">
        <v>2386</v>
      </c>
      <c r="F478">
        <v>85</v>
      </c>
      <c r="G478">
        <v>3</v>
      </c>
      <c r="H478" t="s">
        <v>1083</v>
      </c>
      <c r="I478" t="s">
        <v>17</v>
      </c>
      <c r="J478" t="s">
        <v>18</v>
      </c>
      <c r="K478" t="s">
        <v>43</v>
      </c>
      <c r="L478" t="s">
        <v>282</v>
      </c>
    </row>
    <row r="479" spans="1:12" x14ac:dyDescent="0.25">
      <c r="A479" t="s">
        <v>2387</v>
      </c>
      <c r="B479" s="1">
        <v>15784</v>
      </c>
      <c r="C479" t="s">
        <v>2388</v>
      </c>
      <c r="D479" t="s">
        <v>2389</v>
      </c>
      <c r="E479" t="s">
        <v>2390</v>
      </c>
      <c r="F479">
        <v>163</v>
      </c>
      <c r="G479">
        <v>2</v>
      </c>
      <c r="H479" t="s">
        <v>2391</v>
      </c>
      <c r="I479" t="s">
        <v>17</v>
      </c>
      <c r="J479" t="s">
        <v>18</v>
      </c>
      <c r="K479" t="s">
        <v>43</v>
      </c>
      <c r="L479" t="s">
        <v>282</v>
      </c>
    </row>
    <row r="480" spans="1:12" x14ac:dyDescent="0.25">
      <c r="A480" t="s">
        <v>2392</v>
      </c>
      <c r="B480" s="1">
        <v>126654</v>
      </c>
      <c r="C480" t="s">
        <v>2393</v>
      </c>
      <c r="D480" t="s">
        <v>2394</v>
      </c>
      <c r="E480" t="s">
        <v>2395</v>
      </c>
      <c r="F480">
        <v>209</v>
      </c>
      <c r="G480">
        <v>4</v>
      </c>
      <c r="H480" t="s">
        <v>2293</v>
      </c>
      <c r="I480" t="s">
        <v>17</v>
      </c>
      <c r="J480" t="s">
        <v>18</v>
      </c>
      <c r="K480" t="s">
        <v>43</v>
      </c>
      <c r="L480" t="s">
        <v>282</v>
      </c>
    </row>
    <row r="481" spans="1:12" x14ac:dyDescent="0.25">
      <c r="A481" t="s">
        <v>2396</v>
      </c>
      <c r="B481" s="1">
        <v>8252</v>
      </c>
      <c r="C481" t="s">
        <v>2397</v>
      </c>
      <c r="D481" t="s">
        <v>2398</v>
      </c>
      <c r="E481" t="s">
        <v>2399</v>
      </c>
      <c r="F481" s="1">
        <v>1824</v>
      </c>
      <c r="G481">
        <v>4</v>
      </c>
      <c r="H481" t="s">
        <v>2400</v>
      </c>
      <c r="I481" t="s">
        <v>17</v>
      </c>
      <c r="J481" t="s">
        <v>18</v>
      </c>
      <c r="K481" t="s">
        <v>43</v>
      </c>
      <c r="L481" t="s">
        <v>282</v>
      </c>
    </row>
    <row r="482" spans="1:12" x14ac:dyDescent="0.25">
      <c r="A482" t="s">
        <v>2401</v>
      </c>
      <c r="B482" s="1">
        <v>5083</v>
      </c>
      <c r="C482" t="s">
        <v>2402</v>
      </c>
      <c r="D482" t="s">
        <v>2403</v>
      </c>
      <c r="E482" t="s">
        <v>2404</v>
      </c>
      <c r="F482" s="1">
        <v>1254</v>
      </c>
      <c r="G482">
        <v>4</v>
      </c>
      <c r="H482" t="s">
        <v>2405</v>
      </c>
      <c r="I482" t="s">
        <v>17</v>
      </c>
      <c r="J482" t="s">
        <v>18</v>
      </c>
      <c r="K482" t="s">
        <v>43</v>
      </c>
      <c r="L482" t="s">
        <v>282</v>
      </c>
    </row>
    <row r="483" spans="1:12" x14ac:dyDescent="0.25">
      <c r="A483" t="s">
        <v>2406</v>
      </c>
      <c r="B483" s="1">
        <v>23239</v>
      </c>
      <c r="C483" t="s">
        <v>2407</v>
      </c>
      <c r="D483" t="s">
        <v>2408</v>
      </c>
      <c r="G483">
        <v>2</v>
      </c>
      <c r="H483" t="s">
        <v>2409</v>
      </c>
      <c r="I483" t="s">
        <v>17</v>
      </c>
      <c r="J483" t="s">
        <v>18</v>
      </c>
      <c r="K483" t="s">
        <v>43</v>
      </c>
      <c r="L483" t="s">
        <v>282</v>
      </c>
    </row>
    <row r="484" spans="1:12" x14ac:dyDescent="0.25">
      <c r="A484" t="s">
        <v>2410</v>
      </c>
      <c r="B484" s="1">
        <v>2312</v>
      </c>
      <c r="C484" t="s">
        <v>2411</v>
      </c>
      <c r="D484" t="s">
        <v>2412</v>
      </c>
      <c r="E484" t="s">
        <v>2399</v>
      </c>
      <c r="F484" s="1">
        <v>1824</v>
      </c>
      <c r="G484">
        <v>4</v>
      </c>
      <c r="H484" t="s">
        <v>2413</v>
      </c>
      <c r="I484" t="s">
        <v>17</v>
      </c>
      <c r="J484" t="s">
        <v>18</v>
      </c>
      <c r="K484" t="s">
        <v>43</v>
      </c>
      <c r="L484" t="s">
        <v>282</v>
      </c>
    </row>
    <row r="485" spans="1:12" x14ac:dyDescent="0.25">
      <c r="A485" t="s">
        <v>2414</v>
      </c>
      <c r="B485" s="1">
        <v>15645</v>
      </c>
      <c r="C485" t="s">
        <v>2415</v>
      </c>
      <c r="D485" t="s">
        <v>2416</v>
      </c>
      <c r="E485" t="s">
        <v>2417</v>
      </c>
      <c r="F485">
        <v>111</v>
      </c>
      <c r="G485">
        <v>1</v>
      </c>
      <c r="H485" t="s">
        <v>2418</v>
      </c>
      <c r="I485" t="s">
        <v>17</v>
      </c>
      <c r="J485" t="s">
        <v>18</v>
      </c>
      <c r="K485" t="s">
        <v>43</v>
      </c>
      <c r="L485" t="s">
        <v>282</v>
      </c>
    </row>
    <row r="486" spans="1:12" x14ac:dyDescent="0.25">
      <c r="A486" t="s">
        <v>2419</v>
      </c>
      <c r="B486" s="1">
        <v>24768</v>
      </c>
      <c r="C486" t="s">
        <v>2420</v>
      </c>
      <c r="D486" t="s">
        <v>2421</v>
      </c>
      <c r="E486" t="s">
        <v>2422</v>
      </c>
      <c r="F486">
        <v>601</v>
      </c>
      <c r="G486">
        <v>3</v>
      </c>
      <c r="H486" t="s">
        <v>2423</v>
      </c>
      <c r="I486" t="s">
        <v>17</v>
      </c>
      <c r="J486" t="s">
        <v>18</v>
      </c>
      <c r="K486" t="s">
        <v>43</v>
      </c>
      <c r="L486" t="s">
        <v>282</v>
      </c>
    </row>
    <row r="487" spans="1:12" x14ac:dyDescent="0.25">
      <c r="A487" t="s">
        <v>2424</v>
      </c>
      <c r="B487" s="1">
        <v>30698</v>
      </c>
      <c r="C487" t="s">
        <v>2425</v>
      </c>
      <c r="D487" t="s">
        <v>2426</v>
      </c>
      <c r="E487" t="s">
        <v>2427</v>
      </c>
      <c r="F487">
        <v>875</v>
      </c>
      <c r="G487">
        <v>5</v>
      </c>
      <c r="H487" t="s">
        <v>2428</v>
      </c>
      <c r="I487" t="s">
        <v>17</v>
      </c>
      <c r="J487" t="s">
        <v>18</v>
      </c>
      <c r="K487" t="s">
        <v>43</v>
      </c>
      <c r="L487" t="s">
        <v>282</v>
      </c>
    </row>
    <row r="488" spans="1:12" x14ac:dyDescent="0.25">
      <c r="A488" t="s">
        <v>2429</v>
      </c>
      <c r="B488" s="1">
        <v>2015</v>
      </c>
      <c r="C488" t="s">
        <v>2430</v>
      </c>
      <c r="D488" t="s">
        <v>2431</v>
      </c>
      <c r="E488" t="s">
        <v>2432</v>
      </c>
      <c r="F488">
        <v>113</v>
      </c>
      <c r="G488">
        <v>8</v>
      </c>
      <c r="H488" t="s">
        <v>2433</v>
      </c>
      <c r="I488" t="s">
        <v>17</v>
      </c>
      <c r="J488" t="s">
        <v>18</v>
      </c>
      <c r="K488" t="s">
        <v>43</v>
      </c>
      <c r="L488" t="s">
        <v>282</v>
      </c>
    </row>
    <row r="489" spans="1:12" x14ac:dyDescent="0.25">
      <c r="A489" t="s">
        <v>2434</v>
      </c>
      <c r="B489" s="1">
        <v>9697</v>
      </c>
      <c r="D489" t="s">
        <v>2435</v>
      </c>
      <c r="G489">
        <v>4</v>
      </c>
      <c r="H489" t="s">
        <v>2436</v>
      </c>
      <c r="I489" t="s">
        <v>17</v>
      </c>
      <c r="J489" t="s">
        <v>18</v>
      </c>
      <c r="K489" t="s">
        <v>43</v>
      </c>
      <c r="L489" t="s">
        <v>282</v>
      </c>
    </row>
    <row r="490" spans="1:12" x14ac:dyDescent="0.25">
      <c r="A490" t="s">
        <v>2437</v>
      </c>
      <c r="B490" s="1">
        <v>4893</v>
      </c>
      <c r="C490" t="s">
        <v>2438</v>
      </c>
      <c r="D490" t="s">
        <v>2439</v>
      </c>
      <c r="E490" t="s">
        <v>2440</v>
      </c>
      <c r="F490" s="1">
        <v>2119</v>
      </c>
      <c r="G490">
        <v>1</v>
      </c>
      <c r="H490" t="s">
        <v>2441</v>
      </c>
      <c r="I490" t="s">
        <v>17</v>
      </c>
      <c r="J490" t="s">
        <v>18</v>
      </c>
      <c r="K490" t="s">
        <v>43</v>
      </c>
      <c r="L490" t="s">
        <v>282</v>
      </c>
    </row>
    <row r="491" spans="1:12" x14ac:dyDescent="0.25">
      <c r="A491" t="s">
        <v>2442</v>
      </c>
      <c r="B491" s="1">
        <v>19975</v>
      </c>
      <c r="C491" t="s">
        <v>2443</v>
      </c>
      <c r="D491" t="s">
        <v>2444</v>
      </c>
      <c r="E491" t="s">
        <v>2445</v>
      </c>
      <c r="F491" s="1">
        <v>2555</v>
      </c>
      <c r="G491">
        <v>1</v>
      </c>
      <c r="H491" t="s">
        <v>2446</v>
      </c>
      <c r="I491" t="s">
        <v>17</v>
      </c>
      <c r="J491" t="s">
        <v>18</v>
      </c>
      <c r="K491" t="s">
        <v>43</v>
      </c>
      <c r="L491" t="s">
        <v>282</v>
      </c>
    </row>
    <row r="492" spans="1:12" x14ac:dyDescent="0.25">
      <c r="A492" t="s">
        <v>2447</v>
      </c>
      <c r="B492" s="1">
        <v>21326</v>
      </c>
      <c r="C492" t="s">
        <v>2448</v>
      </c>
      <c r="D492" t="s">
        <v>2449</v>
      </c>
      <c r="E492" t="s">
        <v>2450</v>
      </c>
      <c r="F492">
        <v>233</v>
      </c>
      <c r="G492">
        <v>4</v>
      </c>
      <c r="H492" t="s">
        <v>2451</v>
      </c>
      <c r="I492" t="s">
        <v>17</v>
      </c>
      <c r="J492" t="s">
        <v>18</v>
      </c>
      <c r="K492" t="s">
        <v>43</v>
      </c>
      <c r="L492" t="s">
        <v>282</v>
      </c>
    </row>
    <row r="493" spans="1:12" x14ac:dyDescent="0.25">
      <c r="A493" t="s">
        <v>2452</v>
      </c>
      <c r="B493" s="1">
        <v>183939</v>
      </c>
      <c r="C493" t="s">
        <v>2453</v>
      </c>
      <c r="D493" t="s">
        <v>2454</v>
      </c>
      <c r="E493" t="s">
        <v>2455</v>
      </c>
      <c r="F493">
        <v>680</v>
      </c>
      <c r="G493">
        <v>5</v>
      </c>
      <c r="H493" t="s">
        <v>2293</v>
      </c>
      <c r="I493" t="s">
        <v>17</v>
      </c>
      <c r="J493" t="s">
        <v>18</v>
      </c>
      <c r="K493" t="s">
        <v>43</v>
      </c>
      <c r="L493" t="s">
        <v>282</v>
      </c>
    </row>
    <row r="494" spans="1:12" x14ac:dyDescent="0.25">
      <c r="A494" t="s">
        <v>2456</v>
      </c>
      <c r="B494" s="1">
        <v>4526</v>
      </c>
      <c r="C494" t="s">
        <v>2457</v>
      </c>
      <c r="D494" t="s">
        <v>2458</v>
      </c>
      <c r="E494" t="s">
        <v>2459</v>
      </c>
      <c r="F494" s="1">
        <v>7947</v>
      </c>
      <c r="G494">
        <v>1</v>
      </c>
      <c r="H494" t="s">
        <v>1959</v>
      </c>
      <c r="I494" t="s">
        <v>17</v>
      </c>
      <c r="J494" t="s">
        <v>18</v>
      </c>
      <c r="K494" t="s">
        <v>43</v>
      </c>
      <c r="L494" t="s">
        <v>282</v>
      </c>
    </row>
    <row r="495" spans="1:12" x14ac:dyDescent="0.25">
      <c r="A495" t="s">
        <v>2460</v>
      </c>
      <c r="B495" s="1">
        <v>10551</v>
      </c>
      <c r="C495" t="s">
        <v>2461</v>
      </c>
      <c r="D495" t="s">
        <v>2462</v>
      </c>
      <c r="E495" t="s">
        <v>2463</v>
      </c>
      <c r="F495" s="1">
        <v>4554</v>
      </c>
      <c r="G495">
        <v>3</v>
      </c>
      <c r="H495" t="s">
        <v>2464</v>
      </c>
      <c r="I495" t="s">
        <v>91</v>
      </c>
      <c r="J495" t="s">
        <v>18</v>
      </c>
      <c r="K495" t="s">
        <v>19</v>
      </c>
    </row>
    <row r="496" spans="1:12" x14ac:dyDescent="0.25">
      <c r="A496" t="s">
        <v>2465</v>
      </c>
      <c r="B496" s="1">
        <v>19255</v>
      </c>
      <c r="C496" t="s">
        <v>2466</v>
      </c>
      <c r="D496" t="s">
        <v>2467</v>
      </c>
      <c r="E496" t="s">
        <v>2468</v>
      </c>
      <c r="F496" s="1">
        <v>4659</v>
      </c>
      <c r="G496">
        <v>5</v>
      </c>
      <c r="H496" t="s">
        <v>2469</v>
      </c>
      <c r="I496" t="s">
        <v>17</v>
      </c>
      <c r="J496" t="s">
        <v>18</v>
      </c>
      <c r="K496" t="s">
        <v>19</v>
      </c>
    </row>
    <row r="497" spans="1:11" x14ac:dyDescent="0.25">
      <c r="A497" t="s">
        <v>2470</v>
      </c>
      <c r="B497" s="1">
        <v>35162</v>
      </c>
      <c r="C497" t="s">
        <v>2471</v>
      </c>
      <c r="D497" t="s">
        <v>2472</v>
      </c>
      <c r="E497" t="s">
        <v>2473</v>
      </c>
      <c r="F497" s="1">
        <v>3103</v>
      </c>
      <c r="G497">
        <v>4</v>
      </c>
      <c r="H497" t="s">
        <v>2474</v>
      </c>
      <c r="I497" t="s">
        <v>17</v>
      </c>
      <c r="J497" t="s">
        <v>18</v>
      </c>
      <c r="K497" t="s">
        <v>19</v>
      </c>
    </row>
    <row r="498" spans="1:11" x14ac:dyDescent="0.25">
      <c r="A498" t="s">
        <v>2475</v>
      </c>
      <c r="B498" s="1">
        <v>104499</v>
      </c>
      <c r="C498" t="s">
        <v>2476</v>
      </c>
      <c r="D498" t="s">
        <v>2477</v>
      </c>
      <c r="G498">
        <v>7</v>
      </c>
      <c r="H498" t="s">
        <v>2478</v>
      </c>
      <c r="I498" t="s">
        <v>91</v>
      </c>
      <c r="J498" t="s">
        <v>18</v>
      </c>
      <c r="K498" t="s">
        <v>19</v>
      </c>
    </row>
    <row r="499" spans="1:11" x14ac:dyDescent="0.25">
      <c r="A499" t="s">
        <v>2479</v>
      </c>
      <c r="B499" s="1">
        <v>48579</v>
      </c>
      <c r="C499" t="s">
        <v>2480</v>
      </c>
      <c r="D499" t="s">
        <v>2481</v>
      </c>
      <c r="E499" t="s">
        <v>2482</v>
      </c>
      <c r="F499" s="1">
        <v>1764</v>
      </c>
      <c r="G499">
        <v>4</v>
      </c>
      <c r="H499" t="s">
        <v>426</v>
      </c>
      <c r="I499" t="s">
        <v>91</v>
      </c>
      <c r="J499" t="s">
        <v>18</v>
      </c>
      <c r="K499" t="s">
        <v>19</v>
      </c>
    </row>
    <row r="500" spans="1:11" x14ac:dyDescent="0.25">
      <c r="A500" t="s">
        <v>2483</v>
      </c>
      <c r="B500">
        <v>901</v>
      </c>
      <c r="C500" t="s">
        <v>2484</v>
      </c>
      <c r="D500" t="s">
        <v>2485</v>
      </c>
      <c r="E500" t="s">
        <v>2486</v>
      </c>
      <c r="F500">
        <v>186</v>
      </c>
      <c r="G500">
        <v>1</v>
      </c>
      <c r="H500" t="s">
        <v>2487</v>
      </c>
      <c r="I500" t="s">
        <v>91</v>
      </c>
      <c r="J500" t="s">
        <v>18</v>
      </c>
      <c r="K500" t="s">
        <v>19</v>
      </c>
    </row>
    <row r="501" spans="1:11" x14ac:dyDescent="0.25">
      <c r="A501" t="s">
        <v>2488</v>
      </c>
      <c r="B501" s="1">
        <v>41323</v>
      </c>
      <c r="C501" t="s">
        <v>2489</v>
      </c>
      <c r="D501" t="s">
        <v>2490</v>
      </c>
      <c r="E501" t="s">
        <v>2491</v>
      </c>
      <c r="F501" s="1">
        <v>8255</v>
      </c>
      <c r="G501">
        <v>3</v>
      </c>
      <c r="H501" t="s">
        <v>558</v>
      </c>
      <c r="I501" t="s">
        <v>91</v>
      </c>
      <c r="J501" t="s">
        <v>18</v>
      </c>
      <c r="K501" t="s">
        <v>19</v>
      </c>
    </row>
    <row r="502" spans="1:11" x14ac:dyDescent="0.25">
      <c r="A502" t="s">
        <v>2492</v>
      </c>
      <c r="B502" s="1">
        <v>7964</v>
      </c>
      <c r="C502" t="s">
        <v>2493</v>
      </c>
      <c r="D502" t="s">
        <v>2494</v>
      </c>
      <c r="E502" t="s">
        <v>2495</v>
      </c>
      <c r="F502" s="1">
        <v>7620</v>
      </c>
      <c r="G502">
        <v>2</v>
      </c>
      <c r="H502" t="s">
        <v>2496</v>
      </c>
      <c r="I502" t="s">
        <v>91</v>
      </c>
      <c r="J502" t="s">
        <v>18</v>
      </c>
      <c r="K502" t="s">
        <v>19</v>
      </c>
    </row>
    <row r="503" spans="1:11" x14ac:dyDescent="0.25">
      <c r="A503" t="s">
        <v>2497</v>
      </c>
      <c r="B503" s="1">
        <v>84527</v>
      </c>
      <c r="C503" t="s">
        <v>2498</v>
      </c>
      <c r="D503" t="s">
        <v>2499</v>
      </c>
      <c r="E503" t="s">
        <v>2500</v>
      </c>
      <c r="F503">
        <v>761</v>
      </c>
      <c r="G503">
        <v>4</v>
      </c>
      <c r="H503" t="s">
        <v>2501</v>
      </c>
      <c r="I503" t="s">
        <v>17</v>
      </c>
      <c r="J503" t="s">
        <v>18</v>
      </c>
      <c r="K503" t="s">
        <v>19</v>
      </c>
    </row>
    <row r="504" spans="1:11" x14ac:dyDescent="0.25">
      <c r="A504" t="s">
        <v>2502</v>
      </c>
      <c r="B504" s="1">
        <v>40024</v>
      </c>
      <c r="C504" t="s">
        <v>2503</v>
      </c>
      <c r="D504" t="s">
        <v>2504</v>
      </c>
      <c r="E504" t="s">
        <v>2505</v>
      </c>
      <c r="F504" s="1">
        <v>8980</v>
      </c>
      <c r="G504">
        <v>6</v>
      </c>
      <c r="H504" t="s">
        <v>2506</v>
      </c>
      <c r="I504" t="s">
        <v>91</v>
      </c>
      <c r="J504" t="s">
        <v>18</v>
      </c>
      <c r="K504" t="s">
        <v>19</v>
      </c>
    </row>
    <row r="505" spans="1:11" x14ac:dyDescent="0.25">
      <c r="A505" t="s">
        <v>2507</v>
      </c>
      <c r="B505" s="1">
        <v>9028</v>
      </c>
      <c r="C505" t="s">
        <v>2508</v>
      </c>
      <c r="D505" t="s">
        <v>2509</v>
      </c>
      <c r="E505" t="s">
        <v>2510</v>
      </c>
      <c r="F505" s="1">
        <v>7608</v>
      </c>
      <c r="G505">
        <v>3</v>
      </c>
      <c r="H505" t="s">
        <v>2511</v>
      </c>
      <c r="I505" t="s">
        <v>91</v>
      </c>
      <c r="J505" t="s">
        <v>18</v>
      </c>
      <c r="K505" t="s">
        <v>19</v>
      </c>
    </row>
    <row r="506" spans="1:11" x14ac:dyDescent="0.25">
      <c r="A506" t="s">
        <v>2512</v>
      </c>
      <c r="B506" s="1">
        <v>6631</v>
      </c>
      <c r="C506" t="s">
        <v>2513</v>
      </c>
      <c r="D506" t="s">
        <v>2514</v>
      </c>
      <c r="E506" t="s">
        <v>2515</v>
      </c>
      <c r="F506">
        <v>237</v>
      </c>
      <c r="G506">
        <v>5</v>
      </c>
      <c r="H506" t="s">
        <v>2516</v>
      </c>
      <c r="I506" t="s">
        <v>91</v>
      </c>
      <c r="J506" t="s">
        <v>18</v>
      </c>
      <c r="K506" t="s">
        <v>19</v>
      </c>
    </row>
    <row r="507" spans="1:11" x14ac:dyDescent="0.25">
      <c r="A507" t="s">
        <v>2517</v>
      </c>
      <c r="B507" s="1">
        <v>1625</v>
      </c>
      <c r="C507" t="s">
        <v>2518</v>
      </c>
      <c r="D507" t="s">
        <v>2519</v>
      </c>
      <c r="E507" t="s">
        <v>2520</v>
      </c>
      <c r="F507">
        <v>577</v>
      </c>
      <c r="G507">
        <v>3</v>
      </c>
      <c r="H507" t="s">
        <v>2521</v>
      </c>
      <c r="I507" t="s">
        <v>91</v>
      </c>
      <c r="J507" t="s">
        <v>18</v>
      </c>
      <c r="K507" t="s">
        <v>19</v>
      </c>
    </row>
    <row r="508" spans="1:11" x14ac:dyDescent="0.25">
      <c r="A508" t="s">
        <v>2522</v>
      </c>
      <c r="B508" s="1">
        <v>121875</v>
      </c>
      <c r="C508" t="s">
        <v>2523</v>
      </c>
      <c r="D508" t="s">
        <v>2524</v>
      </c>
      <c r="E508" t="s">
        <v>2525</v>
      </c>
      <c r="F508" s="1">
        <v>1552</v>
      </c>
      <c r="G508">
        <v>11</v>
      </c>
      <c r="H508" t="s">
        <v>1098</v>
      </c>
      <c r="I508" t="s">
        <v>91</v>
      </c>
      <c r="J508" t="s">
        <v>18</v>
      </c>
      <c r="K508" t="s">
        <v>19</v>
      </c>
    </row>
    <row r="509" spans="1:11" x14ac:dyDescent="0.25">
      <c r="A509" t="s">
        <v>2526</v>
      </c>
      <c r="B509" s="1">
        <v>6565</v>
      </c>
      <c r="C509" t="s">
        <v>2527</v>
      </c>
      <c r="D509" t="s">
        <v>2528</v>
      </c>
      <c r="E509" t="s">
        <v>2529</v>
      </c>
      <c r="F509" s="1">
        <v>7825</v>
      </c>
      <c r="G509">
        <v>5</v>
      </c>
      <c r="H509" t="s">
        <v>2530</v>
      </c>
      <c r="I509" t="s">
        <v>17</v>
      </c>
      <c r="J509" t="s">
        <v>18</v>
      </c>
      <c r="K509" t="s">
        <v>19</v>
      </c>
    </row>
    <row r="510" spans="1:11" x14ac:dyDescent="0.25">
      <c r="A510" t="s">
        <v>2531</v>
      </c>
      <c r="B510" s="1">
        <v>15455</v>
      </c>
      <c r="C510" t="s">
        <v>2532</v>
      </c>
      <c r="D510" t="s">
        <v>2533</v>
      </c>
      <c r="E510" t="s">
        <v>2534</v>
      </c>
      <c r="F510">
        <v>250</v>
      </c>
      <c r="G510">
        <v>4</v>
      </c>
      <c r="H510" t="s">
        <v>2535</v>
      </c>
      <c r="I510" t="s">
        <v>17</v>
      </c>
      <c r="J510" t="s">
        <v>18</v>
      </c>
      <c r="K510" t="s">
        <v>19</v>
      </c>
    </row>
    <row r="511" spans="1:11" x14ac:dyDescent="0.25">
      <c r="A511" t="s">
        <v>2536</v>
      </c>
      <c r="B511" s="1">
        <v>29873</v>
      </c>
      <c r="C511" t="s">
        <v>2537</v>
      </c>
      <c r="D511" t="s">
        <v>2538</v>
      </c>
      <c r="E511" t="s">
        <v>2539</v>
      </c>
      <c r="F511">
        <v>602</v>
      </c>
      <c r="G511">
        <v>2</v>
      </c>
      <c r="H511" t="s">
        <v>2540</v>
      </c>
      <c r="I511" t="s">
        <v>91</v>
      </c>
      <c r="J511" t="s">
        <v>18</v>
      </c>
      <c r="K511" t="s">
        <v>19</v>
      </c>
    </row>
    <row r="512" spans="1:11" x14ac:dyDescent="0.25">
      <c r="A512" t="s">
        <v>2541</v>
      </c>
      <c r="B512" s="1">
        <v>181294</v>
      </c>
      <c r="C512" t="s">
        <v>2542</v>
      </c>
      <c r="D512" t="s">
        <v>2543</v>
      </c>
      <c r="E512" t="s">
        <v>2544</v>
      </c>
      <c r="F512" s="1">
        <v>1027</v>
      </c>
      <c r="G512">
        <v>8</v>
      </c>
      <c r="H512" t="s">
        <v>2545</v>
      </c>
      <c r="I512" t="s">
        <v>17</v>
      </c>
      <c r="J512" t="s">
        <v>18</v>
      </c>
      <c r="K512" t="s">
        <v>19</v>
      </c>
    </row>
    <row r="513" spans="1:11" x14ac:dyDescent="0.25">
      <c r="A513" t="s">
        <v>2546</v>
      </c>
      <c r="B513" s="1">
        <v>2663</v>
      </c>
      <c r="C513" t="s">
        <v>2547</v>
      </c>
      <c r="D513" t="s">
        <v>2548</v>
      </c>
      <c r="E513" t="s">
        <v>2549</v>
      </c>
      <c r="F513">
        <v>299</v>
      </c>
      <c r="G513">
        <v>1</v>
      </c>
      <c r="H513" t="s">
        <v>2550</v>
      </c>
      <c r="I513" t="s">
        <v>17</v>
      </c>
      <c r="J513" t="s">
        <v>18</v>
      </c>
      <c r="K513" t="s">
        <v>19</v>
      </c>
    </row>
    <row r="514" spans="1:11" x14ac:dyDescent="0.25">
      <c r="A514" t="s">
        <v>2551</v>
      </c>
      <c r="B514" s="1">
        <v>2113</v>
      </c>
      <c r="C514" t="s">
        <v>2552</v>
      </c>
      <c r="D514" t="s">
        <v>2553</v>
      </c>
      <c r="E514" t="s">
        <v>2554</v>
      </c>
      <c r="F514">
        <v>147</v>
      </c>
      <c r="G514">
        <v>1</v>
      </c>
      <c r="H514" t="s">
        <v>2555</v>
      </c>
      <c r="I514" t="s">
        <v>91</v>
      </c>
      <c r="J514" t="s">
        <v>18</v>
      </c>
      <c r="K514" t="s">
        <v>19</v>
      </c>
    </row>
    <row r="515" spans="1:11" x14ac:dyDescent="0.25">
      <c r="A515" t="s">
        <v>2556</v>
      </c>
      <c r="B515" s="1">
        <v>1516</v>
      </c>
      <c r="C515" t="s">
        <v>2557</v>
      </c>
      <c r="D515" t="s">
        <v>2558</v>
      </c>
      <c r="E515" t="s">
        <v>2559</v>
      </c>
      <c r="F515">
        <v>301</v>
      </c>
      <c r="G515">
        <v>2</v>
      </c>
      <c r="H515" t="s">
        <v>2560</v>
      </c>
      <c r="I515" t="s">
        <v>174</v>
      </c>
      <c r="J515" t="s">
        <v>18</v>
      </c>
      <c r="K515" t="s">
        <v>19</v>
      </c>
    </row>
    <row r="516" spans="1:11" x14ac:dyDescent="0.25">
      <c r="A516" t="s">
        <v>2561</v>
      </c>
      <c r="B516" s="1">
        <v>86681</v>
      </c>
      <c r="C516" t="s">
        <v>2562</v>
      </c>
      <c r="D516" t="s">
        <v>2563</v>
      </c>
      <c r="E516" t="s">
        <v>2564</v>
      </c>
      <c r="F516" s="1">
        <v>1363</v>
      </c>
      <c r="G516">
        <v>7</v>
      </c>
      <c r="H516" t="s">
        <v>1783</v>
      </c>
      <c r="I516" t="s">
        <v>17</v>
      </c>
      <c r="J516" t="s">
        <v>18</v>
      </c>
      <c r="K516" t="s">
        <v>19</v>
      </c>
    </row>
    <row r="517" spans="1:11" x14ac:dyDescent="0.25">
      <c r="A517" t="s">
        <v>2565</v>
      </c>
      <c r="B517" s="1">
        <v>10291</v>
      </c>
      <c r="C517" t="s">
        <v>2566</v>
      </c>
      <c r="D517" t="s">
        <v>2567</v>
      </c>
      <c r="E517" t="s">
        <v>2568</v>
      </c>
      <c r="F517">
        <v>633</v>
      </c>
      <c r="G517">
        <v>5</v>
      </c>
      <c r="H517" t="s">
        <v>2569</v>
      </c>
      <c r="I517" t="s">
        <v>17</v>
      </c>
      <c r="J517" t="s">
        <v>18</v>
      </c>
      <c r="K517" t="s">
        <v>19</v>
      </c>
    </row>
    <row r="518" spans="1:11" x14ac:dyDescent="0.25">
      <c r="A518" t="s">
        <v>2570</v>
      </c>
      <c r="B518" s="1">
        <v>1411</v>
      </c>
      <c r="C518" t="s">
        <v>2571</v>
      </c>
      <c r="D518" t="s">
        <v>2572</v>
      </c>
      <c r="E518" t="s">
        <v>2573</v>
      </c>
      <c r="F518">
        <v>297</v>
      </c>
      <c r="G518">
        <v>0</v>
      </c>
      <c r="H518" t="s">
        <v>2574</v>
      </c>
      <c r="I518" t="s">
        <v>17</v>
      </c>
      <c r="J518" t="s">
        <v>18</v>
      </c>
      <c r="K518" t="s">
        <v>19</v>
      </c>
    </row>
    <row r="519" spans="1:11" x14ac:dyDescent="0.25">
      <c r="A519" t="s">
        <v>2575</v>
      </c>
      <c r="B519" s="1">
        <v>38858</v>
      </c>
      <c r="C519" t="s">
        <v>2576</v>
      </c>
      <c r="D519" t="s">
        <v>2577</v>
      </c>
      <c r="E519" t="s">
        <v>2578</v>
      </c>
      <c r="F519">
        <v>892</v>
      </c>
      <c r="G519">
        <v>3</v>
      </c>
      <c r="H519" t="s">
        <v>2579</v>
      </c>
      <c r="I519" t="s">
        <v>91</v>
      </c>
      <c r="J519" t="s">
        <v>18</v>
      </c>
      <c r="K519" t="s">
        <v>19</v>
      </c>
    </row>
    <row r="520" spans="1:11" x14ac:dyDescent="0.25">
      <c r="A520" t="s">
        <v>2580</v>
      </c>
      <c r="B520" s="1">
        <v>28900</v>
      </c>
      <c r="C520" t="s">
        <v>2581</v>
      </c>
      <c r="D520" t="s">
        <v>2582</v>
      </c>
      <c r="E520" t="s">
        <v>2583</v>
      </c>
      <c r="F520">
        <v>519</v>
      </c>
      <c r="G520">
        <v>3</v>
      </c>
      <c r="H520" t="s">
        <v>2584</v>
      </c>
      <c r="I520" t="s">
        <v>17</v>
      </c>
      <c r="J520" t="s">
        <v>18</v>
      </c>
      <c r="K520" t="s">
        <v>19</v>
      </c>
    </row>
    <row r="521" spans="1:11" x14ac:dyDescent="0.25">
      <c r="A521" t="s">
        <v>2585</v>
      </c>
      <c r="B521" s="1">
        <v>211418</v>
      </c>
      <c r="C521" t="s">
        <v>2586</v>
      </c>
      <c r="D521" t="s">
        <v>2587</v>
      </c>
      <c r="E521" t="s">
        <v>2588</v>
      </c>
      <c r="F521" s="1">
        <v>1184</v>
      </c>
      <c r="G521">
        <v>4</v>
      </c>
      <c r="H521" t="s">
        <v>2589</v>
      </c>
      <c r="I521" t="s">
        <v>17</v>
      </c>
      <c r="J521" t="s">
        <v>18</v>
      </c>
      <c r="K521" t="s">
        <v>19</v>
      </c>
    </row>
    <row r="522" spans="1:11" x14ac:dyDescent="0.25">
      <c r="A522" t="s">
        <v>2590</v>
      </c>
      <c r="B522" s="1">
        <v>48943</v>
      </c>
      <c r="C522" t="s">
        <v>2591</v>
      </c>
      <c r="D522" t="s">
        <v>2592</v>
      </c>
      <c r="E522" t="s">
        <v>2593</v>
      </c>
      <c r="F522">
        <v>965</v>
      </c>
      <c r="G522">
        <v>2</v>
      </c>
      <c r="H522" t="s">
        <v>2594</v>
      </c>
      <c r="I522" t="s">
        <v>17</v>
      </c>
      <c r="J522" t="s">
        <v>18</v>
      </c>
      <c r="K522" t="s">
        <v>19</v>
      </c>
    </row>
    <row r="523" spans="1:11" x14ac:dyDescent="0.25">
      <c r="A523" t="s">
        <v>2595</v>
      </c>
      <c r="B523" s="1">
        <v>11243</v>
      </c>
      <c r="C523" t="s">
        <v>2596</v>
      </c>
      <c r="D523" t="s">
        <v>2597</v>
      </c>
      <c r="E523" t="s">
        <v>2598</v>
      </c>
      <c r="F523" s="1">
        <v>3473</v>
      </c>
      <c r="G523">
        <v>1</v>
      </c>
      <c r="H523" t="s">
        <v>2599</v>
      </c>
      <c r="I523" t="s">
        <v>17</v>
      </c>
      <c r="J523" t="s">
        <v>18</v>
      </c>
      <c r="K523" t="s">
        <v>19</v>
      </c>
    </row>
    <row r="524" spans="1:11" x14ac:dyDescent="0.25">
      <c r="A524" t="s">
        <v>2600</v>
      </c>
      <c r="B524" s="1">
        <v>4833</v>
      </c>
      <c r="C524" t="s">
        <v>2601</v>
      </c>
      <c r="D524" t="s">
        <v>2602</v>
      </c>
      <c r="E524" t="s">
        <v>2603</v>
      </c>
      <c r="F524" s="1">
        <v>2020</v>
      </c>
      <c r="G524">
        <v>2</v>
      </c>
      <c r="H524" t="s">
        <v>2604</v>
      </c>
      <c r="I524" t="s">
        <v>17</v>
      </c>
      <c r="J524" t="s">
        <v>18</v>
      </c>
      <c r="K524" t="s">
        <v>19</v>
      </c>
    </row>
    <row r="525" spans="1:11" x14ac:dyDescent="0.25">
      <c r="A525" t="s">
        <v>2605</v>
      </c>
      <c r="B525" s="1">
        <v>1388</v>
      </c>
      <c r="C525" t="s">
        <v>2606</v>
      </c>
      <c r="D525" t="s">
        <v>2607</v>
      </c>
      <c r="E525" t="s">
        <v>2608</v>
      </c>
      <c r="F525">
        <v>63</v>
      </c>
      <c r="G525">
        <v>4</v>
      </c>
      <c r="H525" t="s">
        <v>2609</v>
      </c>
      <c r="I525" t="s">
        <v>17</v>
      </c>
      <c r="J525" t="s">
        <v>18</v>
      </c>
      <c r="K525" t="s">
        <v>19</v>
      </c>
    </row>
    <row r="526" spans="1:11" x14ac:dyDescent="0.25">
      <c r="A526" t="s">
        <v>2610</v>
      </c>
      <c r="B526" s="1">
        <v>10503</v>
      </c>
      <c r="C526" t="s">
        <v>2611</v>
      </c>
      <c r="D526" t="s">
        <v>2612</v>
      </c>
      <c r="E526" t="s">
        <v>2613</v>
      </c>
      <c r="F526" s="1">
        <v>6829</v>
      </c>
      <c r="G526">
        <v>4</v>
      </c>
      <c r="H526" t="s">
        <v>2614</v>
      </c>
      <c r="I526" t="s">
        <v>17</v>
      </c>
      <c r="J526" t="s">
        <v>18</v>
      </c>
      <c r="K526" t="s">
        <v>19</v>
      </c>
    </row>
    <row r="527" spans="1:11" x14ac:dyDescent="0.25">
      <c r="A527" t="s">
        <v>2615</v>
      </c>
      <c r="B527" s="1">
        <v>105625</v>
      </c>
      <c r="C527" t="s">
        <v>2616</v>
      </c>
      <c r="D527" t="s">
        <v>2617</v>
      </c>
      <c r="E527" t="s">
        <v>2618</v>
      </c>
      <c r="F527" s="1">
        <v>6908</v>
      </c>
      <c r="G527">
        <v>5</v>
      </c>
      <c r="H527" t="s">
        <v>2619</v>
      </c>
      <c r="I527" t="s">
        <v>17</v>
      </c>
      <c r="J527" t="s">
        <v>18</v>
      </c>
      <c r="K527" t="s">
        <v>19</v>
      </c>
    </row>
    <row r="528" spans="1:11" x14ac:dyDescent="0.25">
      <c r="A528" t="s">
        <v>2620</v>
      </c>
      <c r="B528" s="1">
        <v>52814</v>
      </c>
      <c r="C528" t="s">
        <v>2621</v>
      </c>
      <c r="D528" t="s">
        <v>2622</v>
      </c>
      <c r="E528" t="s">
        <v>2623</v>
      </c>
      <c r="F528" s="1">
        <v>2553</v>
      </c>
      <c r="G528">
        <v>5</v>
      </c>
      <c r="H528" t="s">
        <v>112</v>
      </c>
      <c r="I528" t="s">
        <v>91</v>
      </c>
      <c r="J528" t="s">
        <v>18</v>
      </c>
      <c r="K528" t="s">
        <v>19</v>
      </c>
    </row>
    <row r="529" spans="1:11" x14ac:dyDescent="0.25">
      <c r="A529" t="s">
        <v>2624</v>
      </c>
      <c r="B529" s="1">
        <v>2270</v>
      </c>
      <c r="C529" t="s">
        <v>2625</v>
      </c>
      <c r="D529" t="s">
        <v>2626</v>
      </c>
      <c r="E529" t="s">
        <v>2627</v>
      </c>
      <c r="F529" s="1">
        <v>5082</v>
      </c>
      <c r="G529">
        <v>4</v>
      </c>
      <c r="H529" t="s">
        <v>2628</v>
      </c>
      <c r="I529" t="s">
        <v>17</v>
      </c>
      <c r="J529" t="s">
        <v>18</v>
      </c>
      <c r="K529" t="s">
        <v>19</v>
      </c>
    </row>
    <row r="530" spans="1:11" x14ac:dyDescent="0.25">
      <c r="A530" t="s">
        <v>2629</v>
      </c>
      <c r="B530" s="1">
        <v>8231</v>
      </c>
      <c r="C530" t="s">
        <v>2630</v>
      </c>
      <c r="D530" t="s">
        <v>2631</v>
      </c>
      <c r="E530" t="s">
        <v>2632</v>
      </c>
      <c r="F530">
        <v>85</v>
      </c>
      <c r="G530">
        <v>1</v>
      </c>
      <c r="H530" t="s">
        <v>2633</v>
      </c>
      <c r="I530" t="s">
        <v>17</v>
      </c>
      <c r="J530" t="s">
        <v>18</v>
      </c>
      <c r="K530" t="s">
        <v>19</v>
      </c>
    </row>
    <row r="531" spans="1:11" x14ac:dyDescent="0.25">
      <c r="A531" t="s">
        <v>2634</v>
      </c>
      <c r="B531">
        <v>214</v>
      </c>
      <c r="C531" t="s">
        <v>2635</v>
      </c>
      <c r="D531" t="s">
        <v>2636</v>
      </c>
      <c r="E531" t="s">
        <v>2637</v>
      </c>
      <c r="F531">
        <v>71</v>
      </c>
      <c r="G531">
        <v>2</v>
      </c>
      <c r="H531" t="s">
        <v>2365</v>
      </c>
      <c r="I531" t="s">
        <v>17</v>
      </c>
      <c r="J531" t="s">
        <v>18</v>
      </c>
      <c r="K531" t="s">
        <v>19</v>
      </c>
    </row>
    <row r="532" spans="1:11" x14ac:dyDescent="0.25">
      <c r="A532" t="s">
        <v>2638</v>
      </c>
      <c r="B532" s="1">
        <v>1605</v>
      </c>
      <c r="C532" t="s">
        <v>2639</v>
      </c>
      <c r="D532" t="s">
        <v>2640</v>
      </c>
      <c r="E532" t="s">
        <v>2641</v>
      </c>
      <c r="F532" s="1">
        <v>4834</v>
      </c>
      <c r="G532">
        <v>2</v>
      </c>
      <c r="H532" t="s">
        <v>2642</v>
      </c>
      <c r="I532" t="s">
        <v>17</v>
      </c>
      <c r="J532" t="s">
        <v>18</v>
      </c>
      <c r="K532" t="s">
        <v>19</v>
      </c>
    </row>
    <row r="533" spans="1:11" x14ac:dyDescent="0.25">
      <c r="A533" t="s">
        <v>2643</v>
      </c>
      <c r="B533">
        <v>195</v>
      </c>
      <c r="C533" t="s">
        <v>2644</v>
      </c>
      <c r="D533" t="s">
        <v>2645</v>
      </c>
      <c r="E533" t="s">
        <v>2646</v>
      </c>
      <c r="F533">
        <v>138</v>
      </c>
      <c r="G533">
        <v>1</v>
      </c>
      <c r="H533" t="s">
        <v>2647</v>
      </c>
      <c r="I533" t="s">
        <v>17</v>
      </c>
      <c r="J533" t="s">
        <v>18</v>
      </c>
      <c r="K533" t="s">
        <v>19</v>
      </c>
    </row>
    <row r="534" spans="1:11" x14ac:dyDescent="0.25">
      <c r="A534" t="s">
        <v>2648</v>
      </c>
      <c r="B534" s="1">
        <v>14767</v>
      </c>
      <c r="C534" t="s">
        <v>2649</v>
      </c>
      <c r="D534" t="s">
        <v>2650</v>
      </c>
      <c r="E534" t="s">
        <v>2651</v>
      </c>
      <c r="F534" s="1">
        <v>2352</v>
      </c>
      <c r="G534">
        <v>2</v>
      </c>
      <c r="H534" t="s">
        <v>2652</v>
      </c>
      <c r="I534" t="s">
        <v>17</v>
      </c>
      <c r="J534" t="s">
        <v>18</v>
      </c>
      <c r="K534" t="s">
        <v>19</v>
      </c>
    </row>
    <row r="535" spans="1:11" x14ac:dyDescent="0.25">
      <c r="A535" t="s">
        <v>2653</v>
      </c>
      <c r="B535" s="1">
        <v>20095</v>
      </c>
      <c r="C535" t="s">
        <v>2654</v>
      </c>
      <c r="D535" t="s">
        <v>2655</v>
      </c>
      <c r="E535" t="s">
        <v>2656</v>
      </c>
      <c r="F535">
        <v>355</v>
      </c>
      <c r="G535">
        <v>3</v>
      </c>
      <c r="H535" t="s">
        <v>2293</v>
      </c>
      <c r="I535" t="s">
        <v>17</v>
      </c>
      <c r="J535" t="s">
        <v>18</v>
      </c>
      <c r="K535" t="s">
        <v>19</v>
      </c>
    </row>
    <row r="536" spans="1:11" x14ac:dyDescent="0.25">
      <c r="A536" t="s">
        <v>2657</v>
      </c>
      <c r="B536" s="1">
        <v>9435</v>
      </c>
      <c r="C536" t="s">
        <v>2658</v>
      </c>
      <c r="D536" t="s">
        <v>2659</v>
      </c>
      <c r="E536" t="s">
        <v>2660</v>
      </c>
      <c r="F536">
        <v>265</v>
      </c>
      <c r="G536">
        <v>1</v>
      </c>
      <c r="H536" t="s">
        <v>2661</v>
      </c>
      <c r="I536" t="s">
        <v>17</v>
      </c>
      <c r="J536" t="s">
        <v>18</v>
      </c>
      <c r="K536" t="s">
        <v>19</v>
      </c>
    </row>
    <row r="537" spans="1:11" x14ac:dyDescent="0.25">
      <c r="A537" t="s">
        <v>2662</v>
      </c>
      <c r="B537" s="1">
        <v>14188</v>
      </c>
      <c r="C537" t="s">
        <v>2663</v>
      </c>
      <c r="D537" t="s">
        <v>2664</v>
      </c>
      <c r="E537" t="s">
        <v>2665</v>
      </c>
      <c r="F537" s="1">
        <v>2144</v>
      </c>
      <c r="G537">
        <v>6</v>
      </c>
      <c r="H537" t="s">
        <v>2666</v>
      </c>
      <c r="I537" t="s">
        <v>17</v>
      </c>
      <c r="J537" t="s">
        <v>18</v>
      </c>
      <c r="K537" t="s">
        <v>19</v>
      </c>
    </row>
    <row r="538" spans="1:11" x14ac:dyDescent="0.25">
      <c r="A538" t="s">
        <v>2667</v>
      </c>
      <c r="B538" s="1">
        <v>18726</v>
      </c>
      <c r="C538" t="s">
        <v>2668</v>
      </c>
      <c r="D538" t="s">
        <v>2669</v>
      </c>
      <c r="E538" t="s">
        <v>2670</v>
      </c>
      <c r="F538">
        <v>361</v>
      </c>
      <c r="G538">
        <v>2</v>
      </c>
      <c r="H538" t="s">
        <v>2671</v>
      </c>
      <c r="I538" t="s">
        <v>91</v>
      </c>
      <c r="J538" t="s">
        <v>18</v>
      </c>
      <c r="K538" t="s">
        <v>19</v>
      </c>
    </row>
    <row r="539" spans="1:11" x14ac:dyDescent="0.25">
      <c r="A539" t="s">
        <v>2672</v>
      </c>
      <c r="B539" s="1">
        <v>3769</v>
      </c>
      <c r="C539" t="s">
        <v>2673</v>
      </c>
      <c r="D539" t="s">
        <v>2674</v>
      </c>
      <c r="E539" t="s">
        <v>2675</v>
      </c>
      <c r="F539">
        <v>143</v>
      </c>
      <c r="G539">
        <v>1</v>
      </c>
      <c r="H539" t="s">
        <v>2676</v>
      </c>
      <c r="I539" t="s">
        <v>17</v>
      </c>
      <c r="J539" t="s">
        <v>18</v>
      </c>
      <c r="K539" t="s">
        <v>19</v>
      </c>
    </row>
    <row r="540" spans="1:11" x14ac:dyDescent="0.25">
      <c r="A540" t="s">
        <v>2677</v>
      </c>
      <c r="B540" s="1">
        <v>9416</v>
      </c>
      <c r="C540" t="s">
        <v>2678</v>
      </c>
      <c r="D540" t="s">
        <v>2679</v>
      </c>
      <c r="E540" t="s">
        <v>2680</v>
      </c>
      <c r="F540">
        <v>115</v>
      </c>
      <c r="G540">
        <v>1</v>
      </c>
      <c r="H540" t="s">
        <v>2681</v>
      </c>
      <c r="I540" t="s">
        <v>17</v>
      </c>
      <c r="J540" t="s">
        <v>18</v>
      </c>
      <c r="K540" t="s">
        <v>19</v>
      </c>
    </row>
    <row r="541" spans="1:11" x14ac:dyDescent="0.25">
      <c r="A541" t="s">
        <v>2682</v>
      </c>
      <c r="B541" s="1">
        <v>1423</v>
      </c>
      <c r="C541" t="s">
        <v>2683</v>
      </c>
      <c r="D541" t="s">
        <v>2684</v>
      </c>
      <c r="E541" t="s">
        <v>2685</v>
      </c>
      <c r="F541">
        <v>374</v>
      </c>
      <c r="G541">
        <v>0</v>
      </c>
      <c r="H541" t="s">
        <v>2686</v>
      </c>
      <c r="I541" t="s">
        <v>91</v>
      </c>
      <c r="J541" t="s">
        <v>18</v>
      </c>
      <c r="K541" t="s">
        <v>19</v>
      </c>
    </row>
    <row r="542" spans="1:11" x14ac:dyDescent="0.25">
      <c r="A542" t="s">
        <v>2687</v>
      </c>
      <c r="B542" s="1">
        <v>1887</v>
      </c>
      <c r="C542" t="s">
        <v>2688</v>
      </c>
      <c r="D542" t="s">
        <v>2689</v>
      </c>
      <c r="E542" t="s">
        <v>2690</v>
      </c>
      <c r="F542" s="1">
        <v>2125</v>
      </c>
      <c r="G542">
        <v>8</v>
      </c>
      <c r="H542" t="s">
        <v>2433</v>
      </c>
      <c r="I542" t="s">
        <v>17</v>
      </c>
      <c r="J542" t="s">
        <v>18</v>
      </c>
      <c r="K542" t="s">
        <v>19</v>
      </c>
    </row>
    <row r="543" spans="1:11" x14ac:dyDescent="0.25">
      <c r="A543" t="s">
        <v>2691</v>
      </c>
      <c r="B543" s="1">
        <v>10715</v>
      </c>
      <c r="C543" t="s">
        <v>2692</v>
      </c>
      <c r="D543" t="s">
        <v>2693</v>
      </c>
      <c r="E543" t="s">
        <v>2694</v>
      </c>
      <c r="F543">
        <v>71</v>
      </c>
      <c r="G543">
        <v>1</v>
      </c>
      <c r="H543" t="s">
        <v>2695</v>
      </c>
      <c r="I543" t="s">
        <v>17</v>
      </c>
      <c r="J543" t="s">
        <v>18</v>
      </c>
      <c r="K543" t="s">
        <v>19</v>
      </c>
    </row>
    <row r="544" spans="1:11" x14ac:dyDescent="0.25">
      <c r="A544" t="s">
        <v>2696</v>
      </c>
      <c r="B544" s="1">
        <v>5207</v>
      </c>
      <c r="C544" t="s">
        <v>2697</v>
      </c>
      <c r="D544" t="s">
        <v>2698</v>
      </c>
      <c r="E544" t="s">
        <v>2699</v>
      </c>
      <c r="F544" s="1">
        <v>3466</v>
      </c>
      <c r="G544">
        <v>4</v>
      </c>
      <c r="H544" t="s">
        <v>2700</v>
      </c>
      <c r="I544" t="s">
        <v>17</v>
      </c>
      <c r="J544" t="s">
        <v>18</v>
      </c>
      <c r="K544" t="s">
        <v>19</v>
      </c>
    </row>
    <row r="545" spans="1:11" x14ac:dyDescent="0.25">
      <c r="A545" t="s">
        <v>2701</v>
      </c>
      <c r="B545" s="1">
        <v>4409</v>
      </c>
      <c r="C545" t="s">
        <v>2702</v>
      </c>
      <c r="D545" t="s">
        <v>2703</v>
      </c>
      <c r="E545" t="s">
        <v>2704</v>
      </c>
      <c r="F545" s="1">
        <v>2084</v>
      </c>
      <c r="G545">
        <v>6</v>
      </c>
      <c r="H545" t="s">
        <v>2705</v>
      </c>
      <c r="I545" t="s">
        <v>17</v>
      </c>
      <c r="J545" t="s">
        <v>18</v>
      </c>
      <c r="K545" t="s">
        <v>19</v>
      </c>
    </row>
    <row r="546" spans="1:11" x14ac:dyDescent="0.25">
      <c r="A546" t="s">
        <v>2706</v>
      </c>
      <c r="B546" s="1">
        <v>2739</v>
      </c>
      <c r="C546" t="s">
        <v>2707</v>
      </c>
      <c r="D546" t="s">
        <v>2708</v>
      </c>
      <c r="E546" t="s">
        <v>2709</v>
      </c>
      <c r="F546" s="1">
        <v>1323</v>
      </c>
      <c r="G546">
        <v>3</v>
      </c>
      <c r="H546" t="s">
        <v>2710</v>
      </c>
      <c r="I546" t="s">
        <v>91</v>
      </c>
      <c r="J546" t="s">
        <v>18</v>
      </c>
      <c r="K546" t="s">
        <v>19</v>
      </c>
    </row>
    <row r="547" spans="1:11" x14ac:dyDescent="0.25">
      <c r="A547" t="s">
        <v>2711</v>
      </c>
      <c r="B547" s="1">
        <v>4635</v>
      </c>
      <c r="C547" t="s">
        <v>2712</v>
      </c>
      <c r="D547" t="s">
        <v>2713</v>
      </c>
      <c r="E547" t="s">
        <v>2714</v>
      </c>
      <c r="F547" s="1">
        <v>7422</v>
      </c>
      <c r="G547">
        <v>2</v>
      </c>
      <c r="H547" t="s">
        <v>2715</v>
      </c>
      <c r="I547" t="s">
        <v>17</v>
      </c>
      <c r="J547" t="s">
        <v>18</v>
      </c>
      <c r="K547" t="s">
        <v>19</v>
      </c>
    </row>
    <row r="548" spans="1:11" x14ac:dyDescent="0.25">
      <c r="A548" t="s">
        <v>2716</v>
      </c>
      <c r="B548" s="1">
        <v>1005</v>
      </c>
      <c r="C548" t="s">
        <v>2717</v>
      </c>
      <c r="D548" t="s">
        <v>2718</v>
      </c>
      <c r="E548" t="s">
        <v>2719</v>
      </c>
      <c r="F548">
        <v>223</v>
      </c>
      <c r="G548">
        <v>1</v>
      </c>
      <c r="H548" t="s">
        <v>2720</v>
      </c>
      <c r="I548" t="s">
        <v>17</v>
      </c>
      <c r="J548" t="s">
        <v>18</v>
      </c>
      <c r="K548" t="s">
        <v>19</v>
      </c>
    </row>
    <row r="549" spans="1:11" x14ac:dyDescent="0.25">
      <c r="A549" t="s">
        <v>2721</v>
      </c>
      <c r="B549" s="1">
        <v>18371</v>
      </c>
      <c r="C549" t="s">
        <v>2722</v>
      </c>
      <c r="D549" t="s">
        <v>2723</v>
      </c>
      <c r="E549" t="s">
        <v>2724</v>
      </c>
      <c r="F549">
        <v>611</v>
      </c>
      <c r="G549">
        <v>7</v>
      </c>
      <c r="H549" t="s">
        <v>2725</v>
      </c>
      <c r="I549" t="s">
        <v>91</v>
      </c>
      <c r="J549" t="s">
        <v>18</v>
      </c>
      <c r="K549" t="s">
        <v>19</v>
      </c>
    </row>
    <row r="550" spans="1:11" x14ac:dyDescent="0.25">
      <c r="A550" t="s">
        <v>2726</v>
      </c>
      <c r="B550" s="1">
        <v>5811</v>
      </c>
      <c r="C550" t="s">
        <v>2727</v>
      </c>
      <c r="D550" t="s">
        <v>2728</v>
      </c>
      <c r="E550" t="s">
        <v>2729</v>
      </c>
      <c r="F550" s="1">
        <v>7910</v>
      </c>
      <c r="G550">
        <v>1</v>
      </c>
      <c r="H550" t="s">
        <v>2730</v>
      </c>
      <c r="I550" t="s">
        <v>91</v>
      </c>
      <c r="J550" t="s">
        <v>18</v>
      </c>
      <c r="K550" t="s">
        <v>19</v>
      </c>
    </row>
    <row r="551" spans="1:11" x14ac:dyDescent="0.25">
      <c r="A551" t="s">
        <v>2731</v>
      </c>
      <c r="B551" s="1">
        <v>17853</v>
      </c>
      <c r="C551" t="s">
        <v>2732</v>
      </c>
      <c r="D551" t="s">
        <v>2733</v>
      </c>
      <c r="E551" t="s">
        <v>2734</v>
      </c>
      <c r="F551">
        <v>353</v>
      </c>
      <c r="G551">
        <v>3</v>
      </c>
      <c r="H551" t="s">
        <v>2735</v>
      </c>
      <c r="I551" t="s">
        <v>91</v>
      </c>
      <c r="J551" t="s">
        <v>18</v>
      </c>
      <c r="K551" t="s">
        <v>19</v>
      </c>
    </row>
    <row r="552" spans="1:11" x14ac:dyDescent="0.25">
      <c r="A552" t="s">
        <v>2736</v>
      </c>
      <c r="B552" s="1">
        <v>6844</v>
      </c>
      <c r="C552" t="s">
        <v>2737</v>
      </c>
      <c r="D552" t="s">
        <v>2738</v>
      </c>
      <c r="E552" t="s">
        <v>2739</v>
      </c>
      <c r="F552" s="1">
        <v>3719</v>
      </c>
      <c r="G552">
        <v>2</v>
      </c>
      <c r="H552" t="s">
        <v>2740</v>
      </c>
      <c r="I552" t="s">
        <v>91</v>
      </c>
      <c r="J552" t="s">
        <v>18</v>
      </c>
      <c r="K552" t="s">
        <v>19</v>
      </c>
    </row>
    <row r="553" spans="1:11" x14ac:dyDescent="0.25">
      <c r="A553" t="s">
        <v>2741</v>
      </c>
      <c r="B553" s="1">
        <v>2355</v>
      </c>
      <c r="C553" t="s">
        <v>2742</v>
      </c>
      <c r="D553" t="s">
        <v>2743</v>
      </c>
      <c r="E553" t="s">
        <v>2744</v>
      </c>
      <c r="F553" s="1">
        <v>8177</v>
      </c>
      <c r="G553">
        <v>1</v>
      </c>
      <c r="H553" t="s">
        <v>340</v>
      </c>
      <c r="I553" t="s">
        <v>17</v>
      </c>
      <c r="J553" t="s">
        <v>18</v>
      </c>
      <c r="K553" t="s">
        <v>19</v>
      </c>
    </row>
    <row r="554" spans="1:11" x14ac:dyDescent="0.25">
      <c r="A554" t="s">
        <v>2745</v>
      </c>
      <c r="B554">
        <v>172</v>
      </c>
      <c r="C554" t="s">
        <v>2746</v>
      </c>
      <c r="D554" t="s">
        <v>2747</v>
      </c>
      <c r="E554" t="s">
        <v>2748</v>
      </c>
      <c r="F554">
        <v>153</v>
      </c>
      <c r="G554">
        <v>3</v>
      </c>
      <c r="H554" t="s">
        <v>2749</v>
      </c>
      <c r="I554" t="s">
        <v>91</v>
      </c>
      <c r="J554" t="s">
        <v>18</v>
      </c>
      <c r="K554" t="s">
        <v>19</v>
      </c>
    </row>
    <row r="555" spans="1:11" x14ac:dyDescent="0.25">
      <c r="A555" t="s">
        <v>2750</v>
      </c>
      <c r="B555" s="1">
        <v>56725</v>
      </c>
      <c r="C555" t="s">
        <v>2751</v>
      </c>
      <c r="D555" t="s">
        <v>2752</v>
      </c>
      <c r="E555" t="s">
        <v>2753</v>
      </c>
      <c r="F555" s="1">
        <v>1089</v>
      </c>
      <c r="G555">
        <v>4</v>
      </c>
      <c r="H555" t="s">
        <v>2754</v>
      </c>
      <c r="I555" t="s">
        <v>17</v>
      </c>
      <c r="J555" t="s">
        <v>18</v>
      </c>
      <c r="K555" t="s">
        <v>19</v>
      </c>
    </row>
    <row r="556" spans="1:11" x14ac:dyDescent="0.25">
      <c r="A556" t="s">
        <v>2755</v>
      </c>
      <c r="B556" s="1">
        <v>3088</v>
      </c>
      <c r="C556" t="s">
        <v>2756</v>
      </c>
      <c r="D556" t="s">
        <v>2757</v>
      </c>
      <c r="E556" t="s">
        <v>2758</v>
      </c>
      <c r="F556" s="1">
        <v>5550</v>
      </c>
      <c r="G556">
        <v>1</v>
      </c>
      <c r="H556" t="s">
        <v>2759</v>
      </c>
      <c r="I556" t="s">
        <v>17</v>
      </c>
      <c r="J556" t="s">
        <v>18</v>
      </c>
      <c r="K556" t="s">
        <v>19</v>
      </c>
    </row>
    <row r="557" spans="1:11" x14ac:dyDescent="0.25">
      <c r="A557" t="s">
        <v>2760</v>
      </c>
      <c r="B557" s="1">
        <v>73215</v>
      </c>
      <c r="C557" t="s">
        <v>2761</v>
      </c>
      <c r="D557" t="s">
        <v>2762</v>
      </c>
      <c r="G557">
        <v>7</v>
      </c>
      <c r="H557" t="s">
        <v>2763</v>
      </c>
      <c r="I557" t="s">
        <v>17</v>
      </c>
      <c r="J557" t="s">
        <v>18</v>
      </c>
      <c r="K557" t="s">
        <v>19</v>
      </c>
    </row>
    <row r="558" spans="1:11" x14ac:dyDescent="0.25">
      <c r="A558" t="s">
        <v>2764</v>
      </c>
      <c r="B558" s="1">
        <v>48617</v>
      </c>
      <c r="C558" t="s">
        <v>2765</v>
      </c>
      <c r="D558" t="s">
        <v>2766</v>
      </c>
      <c r="E558" t="s">
        <v>2767</v>
      </c>
      <c r="F558">
        <v>724</v>
      </c>
      <c r="G558">
        <v>3</v>
      </c>
      <c r="H558" t="s">
        <v>922</v>
      </c>
      <c r="I558" t="s">
        <v>17</v>
      </c>
      <c r="J558" t="s">
        <v>18</v>
      </c>
      <c r="K558" t="s">
        <v>19</v>
      </c>
    </row>
    <row r="559" spans="1:11" x14ac:dyDescent="0.25">
      <c r="A559" t="s">
        <v>231</v>
      </c>
      <c r="B559">
        <v>530</v>
      </c>
      <c r="C559" t="s">
        <v>232</v>
      </c>
      <c r="D559" t="s">
        <v>233</v>
      </c>
      <c r="E559" t="s">
        <v>234</v>
      </c>
      <c r="F559" s="1">
        <v>18390</v>
      </c>
      <c r="G559">
        <v>5</v>
      </c>
      <c r="H559" t="s">
        <v>235</v>
      </c>
      <c r="I559" t="s">
        <v>91</v>
      </c>
      <c r="J559" t="s">
        <v>236</v>
      </c>
    </row>
    <row r="560" spans="1:11" x14ac:dyDescent="0.25">
      <c r="A560" t="s">
        <v>272</v>
      </c>
      <c r="B560" s="1">
        <v>6445</v>
      </c>
      <c r="C560" t="s">
        <v>273</v>
      </c>
      <c r="D560" t="s">
        <v>274</v>
      </c>
      <c r="E560" t="s">
        <v>275</v>
      </c>
      <c r="F560" s="1">
        <v>21761</v>
      </c>
      <c r="G560">
        <v>8</v>
      </c>
      <c r="H560" t="s">
        <v>276</v>
      </c>
      <c r="I560" t="s">
        <v>91</v>
      </c>
      <c r="J560" t="s">
        <v>236</v>
      </c>
    </row>
    <row r="561" spans="1:10" x14ac:dyDescent="0.25">
      <c r="A561" t="s">
        <v>2768</v>
      </c>
      <c r="B561" s="1">
        <v>9096</v>
      </c>
      <c r="C561" t="s">
        <v>2769</v>
      </c>
      <c r="D561" t="s">
        <v>2770</v>
      </c>
      <c r="E561" t="s">
        <v>2771</v>
      </c>
      <c r="F561" s="1">
        <v>3846</v>
      </c>
      <c r="G561">
        <v>4</v>
      </c>
      <c r="H561" t="s">
        <v>2772</v>
      </c>
      <c r="I561" t="s">
        <v>17</v>
      </c>
      <c r="J561" t="s">
        <v>236</v>
      </c>
    </row>
    <row r="562" spans="1:10" x14ac:dyDescent="0.25">
      <c r="A562" t="s">
        <v>2773</v>
      </c>
      <c r="B562" s="1">
        <v>65620</v>
      </c>
      <c r="C562" t="s">
        <v>2774</v>
      </c>
      <c r="D562" t="s">
        <v>2775</v>
      </c>
      <c r="E562" t="s">
        <v>2776</v>
      </c>
      <c r="F562">
        <v>437</v>
      </c>
      <c r="G562">
        <v>1</v>
      </c>
      <c r="H562" t="s">
        <v>2777</v>
      </c>
      <c r="I562" t="s">
        <v>91</v>
      </c>
      <c r="J562" t="s">
        <v>236</v>
      </c>
    </row>
    <row r="563" spans="1:10" x14ac:dyDescent="0.25">
      <c r="A563" t="s">
        <v>2778</v>
      </c>
      <c r="B563" s="1">
        <v>45254</v>
      </c>
      <c r="C563" t="s">
        <v>2779</v>
      </c>
      <c r="D563" t="s">
        <v>2780</v>
      </c>
      <c r="E563" t="s">
        <v>2781</v>
      </c>
      <c r="F563">
        <v>429</v>
      </c>
      <c r="G563">
        <v>8</v>
      </c>
      <c r="H563" t="s">
        <v>2782</v>
      </c>
      <c r="I563" t="s">
        <v>17</v>
      </c>
      <c r="J563" t="s">
        <v>236</v>
      </c>
    </row>
    <row r="564" spans="1:10" x14ac:dyDescent="0.25">
      <c r="A564" t="s">
        <v>2783</v>
      </c>
      <c r="B564">
        <v>87</v>
      </c>
      <c r="C564" t="s">
        <v>2784</v>
      </c>
      <c r="D564" t="s">
        <v>2785</v>
      </c>
      <c r="E564" t="s">
        <v>2786</v>
      </c>
      <c r="F564" s="1">
        <v>2088</v>
      </c>
      <c r="G564">
        <v>2</v>
      </c>
      <c r="H564" t="s">
        <v>2787</v>
      </c>
      <c r="I564" t="s">
        <v>91</v>
      </c>
      <c r="J564" t="s">
        <v>236</v>
      </c>
    </row>
    <row r="565" spans="1:10" x14ac:dyDescent="0.25">
      <c r="A565" t="s">
        <v>2788</v>
      </c>
      <c r="B565" s="1">
        <v>5166</v>
      </c>
      <c r="C565" t="s">
        <v>2789</v>
      </c>
      <c r="D565" t="s">
        <v>2790</v>
      </c>
      <c r="E565" t="s">
        <v>2791</v>
      </c>
      <c r="F565">
        <v>983</v>
      </c>
      <c r="G565">
        <v>1</v>
      </c>
      <c r="H565" t="s">
        <v>2792</v>
      </c>
      <c r="I565" t="s">
        <v>17</v>
      </c>
      <c r="J565" t="s">
        <v>236</v>
      </c>
    </row>
    <row r="566" spans="1:10" x14ac:dyDescent="0.25">
      <c r="A566" t="s">
        <v>2793</v>
      </c>
      <c r="B566" s="1">
        <v>2226</v>
      </c>
      <c r="C566" t="s">
        <v>2794</v>
      </c>
      <c r="D566" t="s">
        <v>2795</v>
      </c>
      <c r="E566" t="s">
        <v>2796</v>
      </c>
      <c r="F566" s="1">
        <v>3796</v>
      </c>
      <c r="G566">
        <v>1</v>
      </c>
      <c r="H566" t="s">
        <v>2797</v>
      </c>
      <c r="I566" t="s">
        <v>91</v>
      </c>
      <c r="J566" t="s">
        <v>236</v>
      </c>
    </row>
    <row r="567" spans="1:10" x14ac:dyDescent="0.25">
      <c r="A567" t="s">
        <v>2798</v>
      </c>
      <c r="B567">
        <v>232</v>
      </c>
      <c r="C567" t="s">
        <v>2799</v>
      </c>
      <c r="D567" t="s">
        <v>2800</v>
      </c>
      <c r="E567" t="s">
        <v>2801</v>
      </c>
      <c r="F567" s="1">
        <v>1109</v>
      </c>
      <c r="G567">
        <v>1</v>
      </c>
      <c r="H567" t="s">
        <v>2802</v>
      </c>
      <c r="I567" t="s">
        <v>91</v>
      </c>
      <c r="J567" t="s">
        <v>236</v>
      </c>
    </row>
    <row r="568" spans="1:10" x14ac:dyDescent="0.25">
      <c r="A568" t="s">
        <v>2803</v>
      </c>
      <c r="B568" s="1">
        <v>3387</v>
      </c>
      <c r="C568" t="s">
        <v>2804</v>
      </c>
      <c r="D568" t="s">
        <v>2805</v>
      </c>
      <c r="E568" t="s">
        <v>2806</v>
      </c>
      <c r="F568" s="1">
        <v>1289</v>
      </c>
      <c r="G568">
        <v>4</v>
      </c>
      <c r="H568" t="s">
        <v>2807</v>
      </c>
      <c r="I568" t="s">
        <v>225</v>
      </c>
      <c r="J568" t="s">
        <v>236</v>
      </c>
    </row>
    <row r="569" spans="1:10" x14ac:dyDescent="0.25">
      <c r="A569" t="s">
        <v>2808</v>
      </c>
      <c r="B569" s="1">
        <v>62046</v>
      </c>
      <c r="C569" t="s">
        <v>2809</v>
      </c>
      <c r="D569" t="s">
        <v>2810</v>
      </c>
      <c r="E569" t="s">
        <v>2811</v>
      </c>
      <c r="F569">
        <v>141</v>
      </c>
      <c r="G569">
        <v>1</v>
      </c>
      <c r="H569" t="s">
        <v>1964</v>
      </c>
      <c r="I569" t="s">
        <v>17</v>
      </c>
      <c r="J569" t="s">
        <v>236</v>
      </c>
    </row>
    <row r="570" spans="1:10" x14ac:dyDescent="0.25">
      <c r="A570" t="s">
        <v>2812</v>
      </c>
      <c r="B570" s="1">
        <v>6023</v>
      </c>
      <c r="D570" t="s">
        <v>2813</v>
      </c>
      <c r="G570">
        <v>8</v>
      </c>
      <c r="H570" t="s">
        <v>2814</v>
      </c>
      <c r="I570" t="s">
        <v>91</v>
      </c>
      <c r="J570" t="s">
        <v>236</v>
      </c>
    </row>
    <row r="571" spans="1:10" x14ac:dyDescent="0.25">
      <c r="A571" t="s">
        <v>2815</v>
      </c>
      <c r="B571" s="1">
        <v>4183</v>
      </c>
      <c r="C571" t="s">
        <v>2816</v>
      </c>
      <c r="D571" t="s">
        <v>2817</v>
      </c>
      <c r="E571" t="s">
        <v>2818</v>
      </c>
      <c r="F571">
        <v>995</v>
      </c>
      <c r="G571">
        <v>5</v>
      </c>
      <c r="H571" t="s">
        <v>2819</v>
      </c>
      <c r="I571" t="s">
        <v>91</v>
      </c>
      <c r="J571" t="s">
        <v>236</v>
      </c>
    </row>
    <row r="572" spans="1:10" x14ac:dyDescent="0.25">
      <c r="A572" t="s">
        <v>2820</v>
      </c>
      <c r="B572" s="1">
        <v>22764</v>
      </c>
      <c r="C572" t="s">
        <v>2821</v>
      </c>
      <c r="D572" t="s">
        <v>2822</v>
      </c>
      <c r="E572" t="s">
        <v>2823</v>
      </c>
      <c r="F572" s="1">
        <v>1719</v>
      </c>
      <c r="G572">
        <v>3</v>
      </c>
      <c r="H572" t="s">
        <v>2824</v>
      </c>
      <c r="I572" t="s">
        <v>91</v>
      </c>
      <c r="J572" t="s">
        <v>236</v>
      </c>
    </row>
    <row r="573" spans="1:10" x14ac:dyDescent="0.25">
      <c r="A573" t="s">
        <v>2825</v>
      </c>
      <c r="B573" s="1">
        <v>69672</v>
      </c>
      <c r="C573" t="s">
        <v>2826</v>
      </c>
      <c r="D573" t="s">
        <v>2827</v>
      </c>
      <c r="E573" t="s">
        <v>2828</v>
      </c>
      <c r="F573">
        <v>329</v>
      </c>
      <c r="G573">
        <v>8</v>
      </c>
      <c r="H573" t="s">
        <v>411</v>
      </c>
      <c r="I573" t="s">
        <v>17</v>
      </c>
      <c r="J573" t="s">
        <v>236</v>
      </c>
    </row>
    <row r="574" spans="1:10" x14ac:dyDescent="0.25">
      <c r="A574" t="s">
        <v>2829</v>
      </c>
      <c r="B574" s="1">
        <v>119762</v>
      </c>
      <c r="C574" t="s">
        <v>2830</v>
      </c>
      <c r="D574" t="s">
        <v>2831</v>
      </c>
      <c r="E574" t="s">
        <v>2832</v>
      </c>
      <c r="F574" s="1">
        <v>7342</v>
      </c>
      <c r="G574">
        <v>3</v>
      </c>
      <c r="H574" t="s">
        <v>2833</v>
      </c>
      <c r="I574" t="s">
        <v>91</v>
      </c>
      <c r="J574" t="s">
        <v>236</v>
      </c>
    </row>
    <row r="575" spans="1:10" x14ac:dyDescent="0.25">
      <c r="A575" t="s">
        <v>2834</v>
      </c>
      <c r="B575" s="1">
        <v>4552</v>
      </c>
      <c r="C575" t="s">
        <v>2835</v>
      </c>
      <c r="D575" t="s">
        <v>2836</v>
      </c>
      <c r="E575" t="s">
        <v>2837</v>
      </c>
      <c r="F575" s="1">
        <v>9262</v>
      </c>
      <c r="G575">
        <v>8</v>
      </c>
      <c r="H575" t="s">
        <v>2838</v>
      </c>
      <c r="I575" t="s">
        <v>91</v>
      </c>
      <c r="J575" t="s">
        <v>236</v>
      </c>
    </row>
    <row r="576" spans="1:10" x14ac:dyDescent="0.25">
      <c r="A576" t="s">
        <v>2839</v>
      </c>
      <c r="B576" s="1">
        <v>1133</v>
      </c>
      <c r="C576" t="s">
        <v>2840</v>
      </c>
      <c r="D576" t="s">
        <v>2841</v>
      </c>
      <c r="E576" t="s">
        <v>2842</v>
      </c>
      <c r="F576" s="1">
        <v>3302</v>
      </c>
      <c r="G576">
        <v>1</v>
      </c>
      <c r="H576" t="s">
        <v>2843</v>
      </c>
      <c r="I576" t="s">
        <v>91</v>
      </c>
      <c r="J576" t="s">
        <v>236</v>
      </c>
    </row>
    <row r="577" spans="1:10" x14ac:dyDescent="0.25">
      <c r="A577" t="s">
        <v>2844</v>
      </c>
      <c r="B577" s="1">
        <v>28958</v>
      </c>
      <c r="C577" t="s">
        <v>2845</v>
      </c>
      <c r="D577" t="s">
        <v>2846</v>
      </c>
      <c r="E577" t="s">
        <v>2847</v>
      </c>
      <c r="F577" s="1">
        <v>4853</v>
      </c>
      <c r="G577">
        <v>3</v>
      </c>
      <c r="H577" t="s">
        <v>2848</v>
      </c>
      <c r="I577" t="s">
        <v>17</v>
      </c>
      <c r="J577" t="s">
        <v>236</v>
      </c>
    </row>
    <row r="578" spans="1:10" x14ac:dyDescent="0.25">
      <c r="A578" t="s">
        <v>2849</v>
      </c>
      <c r="B578">
        <v>432</v>
      </c>
      <c r="C578" t="s">
        <v>2850</v>
      </c>
      <c r="D578" t="s">
        <v>2851</v>
      </c>
      <c r="E578" t="s">
        <v>2852</v>
      </c>
      <c r="F578" s="1">
        <v>4552</v>
      </c>
      <c r="G578">
        <v>3</v>
      </c>
      <c r="H578" t="s">
        <v>2853</v>
      </c>
      <c r="I578" t="s">
        <v>91</v>
      </c>
      <c r="J578" t="s">
        <v>236</v>
      </c>
    </row>
    <row r="579" spans="1:10" x14ac:dyDescent="0.25">
      <c r="A579" t="s">
        <v>2854</v>
      </c>
      <c r="B579" s="1">
        <v>57921</v>
      </c>
      <c r="C579" t="s">
        <v>2855</v>
      </c>
      <c r="D579" t="s">
        <v>2856</v>
      </c>
      <c r="G579">
        <v>4</v>
      </c>
      <c r="H579" t="s">
        <v>2857</v>
      </c>
      <c r="I579" t="s">
        <v>91</v>
      </c>
      <c r="J579" t="s">
        <v>236</v>
      </c>
    </row>
    <row r="580" spans="1:10" x14ac:dyDescent="0.25">
      <c r="A580" t="s">
        <v>361</v>
      </c>
      <c r="B580" s="1">
        <v>4016</v>
      </c>
      <c r="C580" t="s">
        <v>362</v>
      </c>
      <c r="D580" t="s">
        <v>363</v>
      </c>
      <c r="E580" t="s">
        <v>364</v>
      </c>
      <c r="F580" s="1">
        <v>29459</v>
      </c>
      <c r="G580">
        <v>10</v>
      </c>
      <c r="H580" t="s">
        <v>365</v>
      </c>
      <c r="I580" t="s">
        <v>225</v>
      </c>
      <c r="J580" t="s">
        <v>366</v>
      </c>
    </row>
    <row r="581" spans="1:10" x14ac:dyDescent="0.25">
      <c r="A581" t="s">
        <v>437</v>
      </c>
      <c r="B581" s="1">
        <v>6302</v>
      </c>
      <c r="C581" t="s">
        <v>438</v>
      </c>
      <c r="D581" t="s">
        <v>439</v>
      </c>
      <c r="E581" t="s">
        <v>440</v>
      </c>
      <c r="F581" s="1">
        <v>51619</v>
      </c>
      <c r="G581">
        <v>2</v>
      </c>
      <c r="H581" t="s">
        <v>441</v>
      </c>
      <c r="I581" t="s">
        <v>17</v>
      </c>
      <c r="J581" t="s">
        <v>366</v>
      </c>
    </row>
    <row r="582" spans="1:10" x14ac:dyDescent="0.25">
      <c r="A582" t="s">
        <v>476</v>
      </c>
      <c r="B582" s="1">
        <v>9744</v>
      </c>
      <c r="C582" t="s">
        <v>477</v>
      </c>
      <c r="D582" t="s">
        <v>478</v>
      </c>
      <c r="E582" t="s">
        <v>479</v>
      </c>
      <c r="F582" s="1">
        <v>76244</v>
      </c>
      <c r="G582">
        <v>4</v>
      </c>
      <c r="H582" t="s">
        <v>480</v>
      </c>
      <c r="I582" t="s">
        <v>17</v>
      </c>
      <c r="J582" t="s">
        <v>366</v>
      </c>
    </row>
    <row r="583" spans="1:10" x14ac:dyDescent="0.25">
      <c r="A583" t="s">
        <v>481</v>
      </c>
      <c r="B583">
        <v>270</v>
      </c>
      <c r="C583" t="s">
        <v>482</v>
      </c>
      <c r="D583" t="s">
        <v>483</v>
      </c>
      <c r="E583" t="s">
        <v>479</v>
      </c>
      <c r="F583" s="1">
        <v>76244</v>
      </c>
      <c r="G583">
        <v>2</v>
      </c>
      <c r="H583" t="s">
        <v>484</v>
      </c>
      <c r="I583" t="s">
        <v>17</v>
      </c>
      <c r="J583" t="s">
        <v>366</v>
      </c>
    </row>
    <row r="584" spans="1:10" x14ac:dyDescent="0.25">
      <c r="A584" t="s">
        <v>2858</v>
      </c>
      <c r="B584" s="1">
        <v>6705</v>
      </c>
      <c r="C584" t="s">
        <v>2859</v>
      </c>
      <c r="D584" t="s">
        <v>2860</v>
      </c>
      <c r="E584" t="s">
        <v>2861</v>
      </c>
      <c r="F584" s="1">
        <v>1801</v>
      </c>
      <c r="G584">
        <v>1</v>
      </c>
      <c r="H584" t="s">
        <v>2862</v>
      </c>
      <c r="I584" t="s">
        <v>91</v>
      </c>
      <c r="J584" t="s">
        <v>366</v>
      </c>
    </row>
    <row r="585" spans="1:10" x14ac:dyDescent="0.25">
      <c r="A585" t="s">
        <v>2863</v>
      </c>
      <c r="B585">
        <v>889</v>
      </c>
      <c r="C585" t="s">
        <v>2864</v>
      </c>
      <c r="D585" t="s">
        <v>2865</v>
      </c>
      <c r="E585" t="s">
        <v>2866</v>
      </c>
      <c r="F585" s="1">
        <v>4947</v>
      </c>
      <c r="G585">
        <v>4</v>
      </c>
      <c r="H585" t="s">
        <v>2867</v>
      </c>
      <c r="I585" t="s">
        <v>17</v>
      </c>
      <c r="J585" t="s">
        <v>366</v>
      </c>
    </row>
    <row r="586" spans="1:10" x14ac:dyDescent="0.25">
      <c r="A586" t="s">
        <v>2868</v>
      </c>
      <c r="B586" s="1">
        <v>2080</v>
      </c>
      <c r="C586" t="s">
        <v>2869</v>
      </c>
      <c r="D586" t="s">
        <v>2870</v>
      </c>
      <c r="E586" t="s">
        <v>2871</v>
      </c>
      <c r="F586">
        <v>795</v>
      </c>
      <c r="G586">
        <v>2</v>
      </c>
      <c r="H586" t="s">
        <v>2872</v>
      </c>
      <c r="I586" t="s">
        <v>91</v>
      </c>
      <c r="J586" t="s">
        <v>366</v>
      </c>
    </row>
    <row r="587" spans="1:10" x14ac:dyDescent="0.25">
      <c r="A587" t="s">
        <v>2873</v>
      </c>
      <c r="B587" s="1">
        <v>12964</v>
      </c>
      <c r="C587" t="s">
        <v>2874</v>
      </c>
      <c r="D587" t="s">
        <v>2875</v>
      </c>
      <c r="E587" t="s">
        <v>2876</v>
      </c>
      <c r="F587" s="1">
        <v>2171</v>
      </c>
      <c r="G587">
        <v>6</v>
      </c>
      <c r="H587" t="s">
        <v>2877</v>
      </c>
      <c r="I587" t="s">
        <v>91</v>
      </c>
      <c r="J587" t="s">
        <v>366</v>
      </c>
    </row>
  </sheetData>
  <sortState xmlns:xlrd2="http://schemas.microsoft.com/office/spreadsheetml/2017/richdata2" ref="A2:L587">
    <sortCondition ref="J1:J58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DB72-9375-416D-A954-787074032AF1}">
  <dimension ref="A1:C92"/>
  <sheetViews>
    <sheetView workbookViewId="0">
      <selection activeCell="E12" sqref="E12"/>
    </sheetView>
  </sheetViews>
  <sheetFormatPr defaultRowHeight="15" x14ac:dyDescent="0.25"/>
  <cols>
    <col min="1" max="1" width="21.140625" customWidth="1"/>
    <col min="3" max="3" width="8.140625" customWidth="1"/>
  </cols>
  <sheetData>
    <row r="1" spans="1:3" x14ac:dyDescent="0.25">
      <c r="A1" t="s">
        <v>30</v>
      </c>
      <c r="B1" t="s">
        <v>2879</v>
      </c>
      <c r="C1">
        <v>892</v>
      </c>
    </row>
    <row r="2" spans="1:3" x14ac:dyDescent="0.25">
      <c r="B2" t="s">
        <v>2880</v>
      </c>
      <c r="C2">
        <v>1526</v>
      </c>
    </row>
    <row r="3" spans="1:3" x14ac:dyDescent="0.25">
      <c r="B3" t="s">
        <v>2881</v>
      </c>
      <c r="C3">
        <v>2665</v>
      </c>
    </row>
    <row r="4" spans="1:3" x14ac:dyDescent="0.25">
      <c r="A4" t="s">
        <v>30</v>
      </c>
      <c r="B4" t="s">
        <v>2882</v>
      </c>
      <c r="C4">
        <v>5212</v>
      </c>
    </row>
    <row r="5" spans="1:3" x14ac:dyDescent="0.25">
      <c r="A5" t="s">
        <v>30</v>
      </c>
      <c r="B5" t="s">
        <v>2883</v>
      </c>
      <c r="C5">
        <v>6988</v>
      </c>
    </row>
    <row r="6" spans="1:3" x14ac:dyDescent="0.25">
      <c r="A6" t="s">
        <v>30</v>
      </c>
      <c r="B6" t="s">
        <v>1945</v>
      </c>
      <c r="C6">
        <v>8708</v>
      </c>
    </row>
    <row r="7" spans="1:3" x14ac:dyDescent="0.25">
      <c r="A7" t="s">
        <v>30</v>
      </c>
      <c r="B7" t="s">
        <v>2884</v>
      </c>
      <c r="C7">
        <v>9907</v>
      </c>
    </row>
    <row r="8" spans="1:3" x14ac:dyDescent="0.25">
      <c r="A8" t="s">
        <v>30</v>
      </c>
      <c r="B8" t="s">
        <v>2885</v>
      </c>
      <c r="C8">
        <v>26982</v>
      </c>
    </row>
    <row r="9" spans="1:3" x14ac:dyDescent="0.25">
      <c r="A9" t="s">
        <v>30</v>
      </c>
      <c r="B9" t="s">
        <v>2886</v>
      </c>
      <c r="C9">
        <v>28926</v>
      </c>
    </row>
    <row r="10" spans="1:3" x14ac:dyDescent="0.25">
      <c r="A10" t="s">
        <v>30</v>
      </c>
      <c r="B10" t="s">
        <v>2887</v>
      </c>
      <c r="C10">
        <v>32098</v>
      </c>
    </row>
    <row r="11" spans="1:3" x14ac:dyDescent="0.25">
      <c r="A11" t="s">
        <v>30</v>
      </c>
      <c r="B11" t="s">
        <v>489</v>
      </c>
      <c r="C11">
        <v>35251</v>
      </c>
    </row>
    <row r="12" spans="1:3" x14ac:dyDescent="0.25">
      <c r="A12" t="s">
        <v>30</v>
      </c>
      <c r="B12" t="s">
        <v>2888</v>
      </c>
      <c r="C12">
        <v>35733</v>
      </c>
    </row>
    <row r="13" spans="1:3" x14ac:dyDescent="0.25">
      <c r="A13" t="s">
        <v>30</v>
      </c>
      <c r="B13" t="s">
        <v>1764</v>
      </c>
      <c r="C13">
        <v>36680</v>
      </c>
    </row>
    <row r="14" spans="1:3" x14ac:dyDescent="0.25">
      <c r="A14" t="s">
        <v>30</v>
      </c>
      <c r="B14" t="s">
        <v>2889</v>
      </c>
      <c r="C14">
        <v>52650</v>
      </c>
    </row>
    <row r="15" spans="1:3" x14ac:dyDescent="0.25">
      <c r="A15" s="2" t="s">
        <v>30</v>
      </c>
      <c r="B15" t="s">
        <v>1902</v>
      </c>
      <c r="C15">
        <v>108826</v>
      </c>
    </row>
    <row r="16" spans="1:3" x14ac:dyDescent="0.25">
      <c r="A16" s="2"/>
      <c r="B16" t="s">
        <v>558</v>
      </c>
      <c r="C16">
        <v>124472</v>
      </c>
    </row>
    <row r="17" spans="1:3" x14ac:dyDescent="0.25">
      <c r="A17" s="2"/>
      <c r="B17" t="s">
        <v>2365</v>
      </c>
      <c r="C17">
        <v>180762</v>
      </c>
    </row>
    <row r="18" spans="1:3" x14ac:dyDescent="0.25">
      <c r="A18" t="s">
        <v>36</v>
      </c>
      <c r="B18" t="s">
        <v>1945</v>
      </c>
      <c r="C18">
        <v>114</v>
      </c>
    </row>
    <row r="19" spans="1:3" x14ac:dyDescent="0.25">
      <c r="B19" t="s">
        <v>2890</v>
      </c>
      <c r="C19">
        <v>874</v>
      </c>
    </row>
    <row r="20" spans="1:3" x14ac:dyDescent="0.25">
      <c r="B20" t="s">
        <v>2880</v>
      </c>
      <c r="C20">
        <v>1282</v>
      </c>
    </row>
    <row r="21" spans="1:3" x14ac:dyDescent="0.25">
      <c r="A21" t="s">
        <v>36</v>
      </c>
      <c r="B21" t="s">
        <v>2891</v>
      </c>
      <c r="C21">
        <v>1669</v>
      </c>
    </row>
    <row r="22" spans="1:3" x14ac:dyDescent="0.25">
      <c r="A22" t="s">
        <v>36</v>
      </c>
      <c r="B22" t="s">
        <v>2892</v>
      </c>
      <c r="C22">
        <v>6246</v>
      </c>
    </row>
    <row r="23" spans="1:3" x14ac:dyDescent="0.25">
      <c r="A23" t="s">
        <v>36</v>
      </c>
      <c r="B23" t="s">
        <v>2893</v>
      </c>
      <c r="C23">
        <v>11676</v>
      </c>
    </row>
    <row r="24" spans="1:3" x14ac:dyDescent="0.25">
      <c r="A24" t="s">
        <v>36</v>
      </c>
      <c r="B24" t="s">
        <v>2894</v>
      </c>
      <c r="C24">
        <v>18906</v>
      </c>
    </row>
    <row r="25" spans="1:3" x14ac:dyDescent="0.25">
      <c r="A25" t="s">
        <v>36</v>
      </c>
      <c r="B25" t="s">
        <v>2879</v>
      </c>
      <c r="C25">
        <v>22488</v>
      </c>
    </row>
    <row r="26" spans="1:3" x14ac:dyDescent="0.25">
      <c r="A26" t="s">
        <v>36</v>
      </c>
      <c r="B26" t="s">
        <v>2895</v>
      </c>
      <c r="C26">
        <v>43299</v>
      </c>
    </row>
    <row r="27" spans="1:3" x14ac:dyDescent="0.25">
      <c r="A27" t="s">
        <v>36</v>
      </c>
      <c r="B27" t="s">
        <v>2885</v>
      </c>
      <c r="C27">
        <v>43898</v>
      </c>
    </row>
    <row r="28" spans="1:3" x14ac:dyDescent="0.25">
      <c r="A28" t="s">
        <v>36</v>
      </c>
      <c r="B28" t="s">
        <v>2896</v>
      </c>
      <c r="C28">
        <v>54612</v>
      </c>
    </row>
    <row r="29" spans="1:3" x14ac:dyDescent="0.25">
      <c r="A29" t="s">
        <v>36</v>
      </c>
      <c r="B29" t="s">
        <v>2884</v>
      </c>
      <c r="C29">
        <v>62344</v>
      </c>
    </row>
    <row r="30" spans="1:3" x14ac:dyDescent="0.25">
      <c r="A30" t="s">
        <v>36</v>
      </c>
      <c r="B30" t="s">
        <v>1902</v>
      </c>
      <c r="C30">
        <v>73012</v>
      </c>
    </row>
    <row r="31" spans="1:3" x14ac:dyDescent="0.25">
      <c r="A31" t="s">
        <v>36</v>
      </c>
      <c r="B31" t="s">
        <v>489</v>
      </c>
      <c r="C31">
        <v>82145</v>
      </c>
    </row>
    <row r="32" spans="1:3" x14ac:dyDescent="0.25">
      <c r="A32" t="s">
        <v>36</v>
      </c>
      <c r="B32" t="s">
        <v>2889</v>
      </c>
      <c r="C32">
        <v>124690</v>
      </c>
    </row>
    <row r="33" spans="1:3" x14ac:dyDescent="0.25">
      <c r="A33" t="s">
        <v>36</v>
      </c>
      <c r="B33" t="s">
        <v>2886</v>
      </c>
      <c r="C33">
        <v>138179</v>
      </c>
    </row>
    <row r="34" spans="1:3" x14ac:dyDescent="0.25">
      <c r="A34" t="s">
        <v>36</v>
      </c>
      <c r="B34" t="s">
        <v>558</v>
      </c>
      <c r="C34">
        <v>222288</v>
      </c>
    </row>
    <row r="35" spans="1:3" x14ac:dyDescent="0.25">
      <c r="A35" t="s">
        <v>36</v>
      </c>
      <c r="B35" t="s">
        <v>1764</v>
      </c>
      <c r="C35">
        <v>260493</v>
      </c>
    </row>
    <row r="36" spans="1:3" x14ac:dyDescent="0.25">
      <c r="A36" s="2" t="s">
        <v>36</v>
      </c>
      <c r="B36" t="s">
        <v>2887</v>
      </c>
      <c r="C36">
        <v>309019</v>
      </c>
    </row>
    <row r="37" spans="1:3" x14ac:dyDescent="0.25">
      <c r="A37" s="2"/>
      <c r="B37" t="s">
        <v>2888</v>
      </c>
      <c r="C37">
        <v>390214</v>
      </c>
    </row>
    <row r="38" spans="1:3" x14ac:dyDescent="0.25">
      <c r="A38" s="2"/>
      <c r="B38" t="s">
        <v>2365</v>
      </c>
      <c r="C38">
        <v>945469</v>
      </c>
    </row>
    <row r="39" spans="1:3" x14ac:dyDescent="0.25">
      <c r="A39" s="2" t="s">
        <v>504</v>
      </c>
      <c r="B39" t="s">
        <v>2880</v>
      </c>
      <c r="C39">
        <v>475</v>
      </c>
    </row>
    <row r="40" spans="1:3" x14ac:dyDescent="0.25">
      <c r="A40" s="2"/>
      <c r="B40" t="s">
        <v>1902</v>
      </c>
      <c r="C40">
        <v>695</v>
      </c>
    </row>
    <row r="41" spans="1:3" x14ac:dyDescent="0.25">
      <c r="A41" s="2"/>
      <c r="B41" t="s">
        <v>2879</v>
      </c>
      <c r="C41">
        <v>1375</v>
      </c>
    </row>
    <row r="42" spans="1:3" x14ac:dyDescent="0.25">
      <c r="A42" t="s">
        <v>504</v>
      </c>
      <c r="B42" t="s">
        <v>2885</v>
      </c>
      <c r="C42">
        <v>10449</v>
      </c>
    </row>
    <row r="43" spans="1:3" x14ac:dyDescent="0.25">
      <c r="A43" s="2" t="s">
        <v>504</v>
      </c>
      <c r="B43" t="s">
        <v>2884</v>
      </c>
      <c r="C43">
        <v>12316</v>
      </c>
    </row>
    <row r="44" spans="1:3" x14ac:dyDescent="0.25">
      <c r="A44" s="2"/>
      <c r="B44" t="s">
        <v>2365</v>
      </c>
      <c r="C44">
        <v>36752</v>
      </c>
    </row>
    <row r="45" spans="1:3" x14ac:dyDescent="0.25">
      <c r="A45" s="2"/>
      <c r="B45" t="s">
        <v>2887</v>
      </c>
      <c r="C45">
        <v>57404</v>
      </c>
    </row>
    <row r="46" spans="1:3" x14ac:dyDescent="0.25">
      <c r="A46" t="s">
        <v>138</v>
      </c>
      <c r="B46" t="s">
        <v>2887</v>
      </c>
      <c r="C46">
        <v>4299</v>
      </c>
    </row>
    <row r="47" spans="1:3" x14ac:dyDescent="0.25">
      <c r="A47" s="2" t="s">
        <v>138</v>
      </c>
      <c r="B47" t="s">
        <v>1764</v>
      </c>
      <c r="C47">
        <v>151420</v>
      </c>
    </row>
    <row r="48" spans="1:3" x14ac:dyDescent="0.25">
      <c r="A48" s="2"/>
      <c r="B48" t="s">
        <v>2888</v>
      </c>
      <c r="C48">
        <v>464378</v>
      </c>
    </row>
    <row r="49" spans="1:3" x14ac:dyDescent="0.25">
      <c r="A49" s="2"/>
      <c r="B49" t="s">
        <v>2365</v>
      </c>
      <c r="C49">
        <v>1150107</v>
      </c>
    </row>
    <row r="50" spans="1:3" x14ac:dyDescent="0.25">
      <c r="A50" t="s">
        <v>102</v>
      </c>
      <c r="B50" t="s">
        <v>2884</v>
      </c>
      <c r="C50">
        <v>472</v>
      </c>
    </row>
    <row r="51" spans="1:3" x14ac:dyDescent="0.25">
      <c r="B51" t="s">
        <v>2365</v>
      </c>
      <c r="C51">
        <v>742</v>
      </c>
    </row>
    <row r="52" spans="1:3" x14ac:dyDescent="0.25">
      <c r="B52" t="s">
        <v>2897</v>
      </c>
      <c r="C52">
        <v>1323</v>
      </c>
    </row>
    <row r="53" spans="1:3" x14ac:dyDescent="0.25">
      <c r="A53" t="s">
        <v>102</v>
      </c>
      <c r="B53" t="s">
        <v>558</v>
      </c>
      <c r="C53">
        <v>2074</v>
      </c>
    </row>
    <row r="54" spans="1:3" x14ac:dyDescent="0.25">
      <c r="A54" s="2" t="s">
        <v>102</v>
      </c>
      <c r="B54" t="s">
        <v>1764</v>
      </c>
      <c r="C54">
        <v>6256</v>
      </c>
    </row>
    <row r="55" spans="1:3" x14ac:dyDescent="0.25">
      <c r="A55" s="2"/>
      <c r="B55" t="s">
        <v>1902</v>
      </c>
      <c r="C55">
        <v>6853</v>
      </c>
    </row>
    <row r="56" spans="1:3" x14ac:dyDescent="0.25">
      <c r="A56" s="2"/>
      <c r="B56" t="s">
        <v>2889</v>
      </c>
      <c r="C56">
        <v>9958</v>
      </c>
    </row>
    <row r="57" spans="1:3" x14ac:dyDescent="0.25">
      <c r="A57" t="s">
        <v>18</v>
      </c>
      <c r="B57" t="s">
        <v>2898</v>
      </c>
      <c r="C57">
        <v>119</v>
      </c>
    </row>
    <row r="58" spans="1:3" x14ac:dyDescent="0.25">
      <c r="B58" t="s">
        <v>2899</v>
      </c>
      <c r="C58">
        <v>1005</v>
      </c>
    </row>
    <row r="59" spans="1:3" x14ac:dyDescent="0.25">
      <c r="B59" t="s">
        <v>2893</v>
      </c>
      <c r="C59">
        <v>6842</v>
      </c>
    </row>
    <row r="60" spans="1:3" x14ac:dyDescent="0.25">
      <c r="A60" t="s">
        <v>18</v>
      </c>
      <c r="B60" t="s">
        <v>2879</v>
      </c>
      <c r="C60">
        <v>7161</v>
      </c>
    </row>
    <row r="61" spans="1:3" x14ac:dyDescent="0.25">
      <c r="A61" t="s">
        <v>18</v>
      </c>
      <c r="B61" t="s">
        <v>2885</v>
      </c>
      <c r="C61">
        <v>12060</v>
      </c>
    </row>
    <row r="62" spans="1:3" x14ac:dyDescent="0.25">
      <c r="A62" t="s">
        <v>18</v>
      </c>
      <c r="B62" t="s">
        <v>2895</v>
      </c>
      <c r="C62">
        <v>16507</v>
      </c>
    </row>
    <row r="63" spans="1:3" x14ac:dyDescent="0.25">
      <c r="A63" t="s">
        <v>18</v>
      </c>
      <c r="B63" t="s">
        <v>2882</v>
      </c>
      <c r="C63">
        <v>23185</v>
      </c>
    </row>
    <row r="64" spans="1:3" x14ac:dyDescent="0.25">
      <c r="A64" t="s">
        <v>18</v>
      </c>
      <c r="B64" t="s">
        <v>2891</v>
      </c>
      <c r="C64">
        <v>26328</v>
      </c>
    </row>
    <row r="65" spans="1:3" x14ac:dyDescent="0.25">
      <c r="A65" t="s">
        <v>18</v>
      </c>
      <c r="B65" t="s">
        <v>2897</v>
      </c>
      <c r="C65">
        <v>28310</v>
      </c>
    </row>
    <row r="66" spans="1:3" x14ac:dyDescent="0.25">
      <c r="A66" t="s">
        <v>18</v>
      </c>
      <c r="B66" t="s">
        <v>2894</v>
      </c>
      <c r="C66">
        <v>86027</v>
      </c>
    </row>
    <row r="67" spans="1:3" x14ac:dyDescent="0.25">
      <c r="A67" t="s">
        <v>18</v>
      </c>
      <c r="B67" t="s">
        <v>2883</v>
      </c>
      <c r="C67">
        <v>91420</v>
      </c>
    </row>
    <row r="68" spans="1:3" x14ac:dyDescent="0.25">
      <c r="A68" t="s">
        <v>18</v>
      </c>
      <c r="B68" t="s">
        <v>2884</v>
      </c>
      <c r="C68">
        <v>96347</v>
      </c>
    </row>
    <row r="69" spans="1:3" x14ac:dyDescent="0.25">
      <c r="A69" t="s">
        <v>18</v>
      </c>
      <c r="B69" t="s">
        <v>2892</v>
      </c>
      <c r="C69">
        <v>166952</v>
      </c>
    </row>
    <row r="70" spans="1:3" x14ac:dyDescent="0.25">
      <c r="A70" t="s">
        <v>18</v>
      </c>
      <c r="B70" t="s">
        <v>1945</v>
      </c>
      <c r="C70">
        <v>177429</v>
      </c>
    </row>
    <row r="71" spans="1:3" x14ac:dyDescent="0.25">
      <c r="A71" t="s">
        <v>18</v>
      </c>
      <c r="B71" t="s">
        <v>2889</v>
      </c>
      <c r="C71">
        <v>179391</v>
      </c>
    </row>
    <row r="72" spans="1:3" x14ac:dyDescent="0.25">
      <c r="A72" t="s">
        <v>18</v>
      </c>
      <c r="B72" t="s">
        <v>1902</v>
      </c>
      <c r="C72">
        <v>272414</v>
      </c>
    </row>
    <row r="73" spans="1:3" x14ac:dyDescent="0.25">
      <c r="A73" t="s">
        <v>18</v>
      </c>
      <c r="B73" t="s">
        <v>489</v>
      </c>
      <c r="C73">
        <v>348451</v>
      </c>
    </row>
    <row r="74" spans="1:3" x14ac:dyDescent="0.25">
      <c r="A74" t="s">
        <v>18</v>
      </c>
      <c r="B74" t="s">
        <v>2887</v>
      </c>
      <c r="C74">
        <v>351121</v>
      </c>
    </row>
    <row r="75" spans="1:3" x14ac:dyDescent="0.25">
      <c r="A75" t="s">
        <v>18</v>
      </c>
      <c r="B75" t="s">
        <v>1764</v>
      </c>
      <c r="C75">
        <v>362531</v>
      </c>
    </row>
    <row r="76" spans="1:3" x14ac:dyDescent="0.25">
      <c r="A76" t="s">
        <v>18</v>
      </c>
      <c r="B76" t="s">
        <v>558</v>
      </c>
      <c r="C76">
        <v>399054</v>
      </c>
    </row>
    <row r="77" spans="1:3" x14ac:dyDescent="0.25">
      <c r="A77" s="2" t="s">
        <v>18</v>
      </c>
      <c r="B77" t="s">
        <v>2888</v>
      </c>
      <c r="C77">
        <v>584460</v>
      </c>
    </row>
    <row r="78" spans="1:3" x14ac:dyDescent="0.25">
      <c r="A78" s="2"/>
      <c r="B78" t="s">
        <v>2886</v>
      </c>
      <c r="C78">
        <v>1066588</v>
      </c>
    </row>
    <row r="79" spans="1:3" x14ac:dyDescent="0.25">
      <c r="A79" s="2"/>
      <c r="B79" t="s">
        <v>2365</v>
      </c>
      <c r="C79">
        <v>1620167</v>
      </c>
    </row>
    <row r="80" spans="1:3" x14ac:dyDescent="0.25">
      <c r="A80" t="s">
        <v>236</v>
      </c>
      <c r="B80" t="s">
        <v>2900</v>
      </c>
      <c r="C80">
        <v>530</v>
      </c>
    </row>
    <row r="81" spans="1:3" x14ac:dyDescent="0.25">
      <c r="B81" t="s">
        <v>2893</v>
      </c>
      <c r="C81">
        <v>664</v>
      </c>
    </row>
    <row r="82" spans="1:3" x14ac:dyDescent="0.25">
      <c r="B82" t="s">
        <v>2880</v>
      </c>
      <c r="C82">
        <v>4552</v>
      </c>
    </row>
    <row r="83" spans="1:3" x14ac:dyDescent="0.25">
      <c r="A83" t="s">
        <v>236</v>
      </c>
      <c r="B83" t="s">
        <v>1764</v>
      </c>
      <c r="C83">
        <v>6532</v>
      </c>
    </row>
    <row r="84" spans="1:3" x14ac:dyDescent="0.25">
      <c r="A84" t="s">
        <v>236</v>
      </c>
      <c r="B84" t="s">
        <v>1902</v>
      </c>
      <c r="C84">
        <v>9096</v>
      </c>
    </row>
    <row r="85" spans="1:3" x14ac:dyDescent="0.25">
      <c r="A85" t="s">
        <v>236</v>
      </c>
      <c r="B85" t="s">
        <v>2894</v>
      </c>
      <c r="C85">
        <v>10206</v>
      </c>
    </row>
    <row r="86" spans="1:3" x14ac:dyDescent="0.25">
      <c r="A86" s="2" t="s">
        <v>236</v>
      </c>
      <c r="B86" t="s">
        <v>2888</v>
      </c>
      <c r="C86">
        <v>50420</v>
      </c>
    </row>
    <row r="87" spans="1:3" x14ac:dyDescent="0.25">
      <c r="A87" s="2"/>
      <c r="B87" t="s">
        <v>2887</v>
      </c>
      <c r="C87">
        <v>62046</v>
      </c>
    </row>
    <row r="88" spans="1:3" x14ac:dyDescent="0.25">
      <c r="A88" s="2"/>
      <c r="B88" t="s">
        <v>2365</v>
      </c>
      <c r="C88">
        <v>371443</v>
      </c>
    </row>
    <row r="89" spans="1:3" x14ac:dyDescent="0.25">
      <c r="A89" t="s">
        <v>366</v>
      </c>
      <c r="B89" t="s">
        <v>2896</v>
      </c>
      <c r="C89">
        <v>2080</v>
      </c>
    </row>
    <row r="90" spans="1:3" x14ac:dyDescent="0.25">
      <c r="A90" s="2" t="s">
        <v>366</v>
      </c>
      <c r="B90" t="s">
        <v>2365</v>
      </c>
      <c r="C90">
        <v>4905</v>
      </c>
    </row>
    <row r="91" spans="1:3" x14ac:dyDescent="0.25">
      <c r="A91" s="2"/>
      <c r="B91" t="s">
        <v>2888</v>
      </c>
      <c r="C91">
        <v>10014</v>
      </c>
    </row>
    <row r="92" spans="1:3" x14ac:dyDescent="0.25">
      <c r="A92" s="2"/>
      <c r="B92" t="s">
        <v>1764</v>
      </c>
      <c r="C92">
        <v>25971</v>
      </c>
    </row>
  </sheetData>
  <mergeCells count="9">
    <mergeCell ref="A77:A79"/>
    <mergeCell ref="A86:A88"/>
    <mergeCell ref="A90:A92"/>
    <mergeCell ref="A15:A17"/>
    <mergeCell ref="A36:A38"/>
    <mergeCell ref="A39:A41"/>
    <mergeCell ref="A43:A45"/>
    <mergeCell ref="A47:A49"/>
    <mergeCell ref="A54:A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D6B7-3334-46BA-93D2-4FDEE0BF4C2F}">
  <dimension ref="A1:B28"/>
  <sheetViews>
    <sheetView workbookViewId="0">
      <selection activeCell="D28" sqref="D28"/>
    </sheetView>
  </sheetViews>
  <sheetFormatPr defaultRowHeight="15" x14ac:dyDescent="0.25"/>
  <cols>
    <col min="1" max="1" width="19.140625" customWidth="1"/>
    <col min="2" max="2" width="15" customWidth="1"/>
  </cols>
  <sheetData>
    <row r="1" spans="1:2" x14ac:dyDescent="0.25">
      <c r="A1" t="s">
        <v>112</v>
      </c>
      <c r="B1">
        <v>4310347</v>
      </c>
    </row>
    <row r="2" spans="1:2" x14ac:dyDescent="0.25">
      <c r="A2" t="s">
        <v>2888</v>
      </c>
      <c r="B2">
        <v>1535219</v>
      </c>
    </row>
    <row r="3" spans="1:2" x14ac:dyDescent="0.25">
      <c r="A3" t="s">
        <v>24</v>
      </c>
      <c r="B3">
        <v>1233693</v>
      </c>
    </row>
    <row r="4" spans="1:2" x14ac:dyDescent="0.25">
      <c r="A4" t="s">
        <v>1681</v>
      </c>
      <c r="B4">
        <v>849883</v>
      </c>
    </row>
    <row r="5" spans="1:2" x14ac:dyDescent="0.25">
      <c r="A5" t="s">
        <v>2901</v>
      </c>
      <c r="B5">
        <v>815987</v>
      </c>
    </row>
    <row r="6" spans="1:2" x14ac:dyDescent="0.25">
      <c r="A6" t="s">
        <v>2902</v>
      </c>
      <c r="B6">
        <v>747888</v>
      </c>
    </row>
    <row r="7" spans="1:2" x14ac:dyDescent="0.25">
      <c r="A7" t="s">
        <v>2903</v>
      </c>
      <c r="B7">
        <v>470896</v>
      </c>
    </row>
    <row r="8" spans="1:2" x14ac:dyDescent="0.25">
      <c r="A8" t="s">
        <v>489</v>
      </c>
      <c r="B8">
        <v>465847</v>
      </c>
    </row>
    <row r="9" spans="1:2" x14ac:dyDescent="0.25">
      <c r="A9" t="s">
        <v>246</v>
      </c>
      <c r="B9">
        <v>366689</v>
      </c>
    </row>
    <row r="10" spans="1:2" x14ac:dyDescent="0.25">
      <c r="A10" t="s">
        <v>2904</v>
      </c>
      <c r="B10">
        <v>186251</v>
      </c>
    </row>
    <row r="11" spans="1:2" x14ac:dyDescent="0.25">
      <c r="A11" t="s">
        <v>2905</v>
      </c>
      <c r="B11">
        <v>181386</v>
      </c>
    </row>
    <row r="12" spans="1:2" x14ac:dyDescent="0.25">
      <c r="A12" t="s">
        <v>2892</v>
      </c>
      <c r="B12">
        <v>173198</v>
      </c>
    </row>
    <row r="13" spans="1:2" x14ac:dyDescent="0.25">
      <c r="A13" t="s">
        <v>2894</v>
      </c>
      <c r="B13">
        <v>115139</v>
      </c>
    </row>
    <row r="14" spans="1:2" x14ac:dyDescent="0.25">
      <c r="A14" t="s">
        <v>2883</v>
      </c>
      <c r="B14">
        <v>98408</v>
      </c>
    </row>
    <row r="15" spans="1:2" x14ac:dyDescent="0.25">
      <c r="A15" t="s">
        <v>2885</v>
      </c>
      <c r="B15">
        <v>93389</v>
      </c>
    </row>
    <row r="16" spans="1:2" x14ac:dyDescent="0.25">
      <c r="A16" t="s">
        <v>2895</v>
      </c>
      <c r="B16">
        <v>59806</v>
      </c>
    </row>
    <row r="17" spans="1:2" x14ac:dyDescent="0.25">
      <c r="A17" t="s">
        <v>2896</v>
      </c>
      <c r="B17">
        <v>56692</v>
      </c>
    </row>
    <row r="18" spans="1:2" x14ac:dyDescent="0.25">
      <c r="A18" t="s">
        <v>2879</v>
      </c>
      <c r="B18">
        <v>31916</v>
      </c>
    </row>
    <row r="19" spans="1:2" x14ac:dyDescent="0.25">
      <c r="A19" t="s">
        <v>2906</v>
      </c>
      <c r="B19">
        <v>29633</v>
      </c>
    </row>
    <row r="20" spans="1:2" x14ac:dyDescent="0.25">
      <c r="A20" t="s">
        <v>2907</v>
      </c>
      <c r="B20">
        <v>28397</v>
      </c>
    </row>
    <row r="21" spans="1:2" x14ac:dyDescent="0.25">
      <c r="A21" t="s">
        <v>2891</v>
      </c>
      <c r="B21">
        <v>27997</v>
      </c>
    </row>
    <row r="22" spans="1:2" x14ac:dyDescent="0.25">
      <c r="A22" t="s">
        <v>2908</v>
      </c>
      <c r="B22">
        <v>19182</v>
      </c>
    </row>
    <row r="23" spans="1:2" x14ac:dyDescent="0.25">
      <c r="A23" t="s">
        <v>2909</v>
      </c>
      <c r="B23">
        <v>7835</v>
      </c>
    </row>
    <row r="24" spans="1:2" x14ac:dyDescent="0.25">
      <c r="A24" t="s">
        <v>2910</v>
      </c>
      <c r="B24">
        <v>2665</v>
      </c>
    </row>
    <row r="25" spans="1:2" x14ac:dyDescent="0.25">
      <c r="A25" t="s">
        <v>2899</v>
      </c>
      <c r="B25">
        <v>1005</v>
      </c>
    </row>
    <row r="26" spans="1:2" x14ac:dyDescent="0.25">
      <c r="A26" t="s">
        <v>2911</v>
      </c>
      <c r="B26">
        <v>874</v>
      </c>
    </row>
    <row r="27" spans="1:2" x14ac:dyDescent="0.25">
      <c r="A27" t="s">
        <v>2912</v>
      </c>
      <c r="B27">
        <v>530</v>
      </c>
    </row>
    <row r="28" spans="1:2" x14ac:dyDescent="0.25">
      <c r="A28" t="s">
        <v>2913</v>
      </c>
      <c r="B28">
        <v>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B562-E021-4AD4-9D7E-AC85B560CCE8}">
  <dimension ref="A1:AA587"/>
  <sheetViews>
    <sheetView workbookViewId="0">
      <selection activeCell="M23" sqref="M23"/>
    </sheetView>
  </sheetViews>
  <sheetFormatPr defaultRowHeight="15" x14ac:dyDescent="0.25"/>
  <sheetData>
    <row r="1" spans="1:27" x14ac:dyDescent="0.25">
      <c r="B1" t="s">
        <v>2914</v>
      </c>
      <c r="C1" t="s">
        <v>0</v>
      </c>
      <c r="D1" t="s">
        <v>2915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27" x14ac:dyDescent="0.25">
      <c r="A2">
        <v>83</v>
      </c>
      <c r="B2">
        <v>83</v>
      </c>
      <c r="C2" t="s">
        <v>442</v>
      </c>
      <c r="D2" t="s">
        <v>2916</v>
      </c>
      <c r="E2" s="1">
        <v>3537</v>
      </c>
      <c r="F2" t="s">
        <v>443</v>
      </c>
      <c r="G2" t="s">
        <v>444</v>
      </c>
      <c r="H2" t="s">
        <v>445</v>
      </c>
      <c r="I2" s="1">
        <v>52011</v>
      </c>
      <c r="J2">
        <v>2</v>
      </c>
    </row>
    <row r="3" spans="1:27" x14ac:dyDescent="0.25">
      <c r="A3">
        <v>585</v>
      </c>
      <c r="B3">
        <v>585</v>
      </c>
      <c r="C3" t="s">
        <v>2873</v>
      </c>
      <c r="D3" t="s">
        <v>2916</v>
      </c>
      <c r="E3" s="1">
        <v>12964</v>
      </c>
      <c r="F3" t="s">
        <v>2874</v>
      </c>
      <c r="G3" t="s">
        <v>2875</v>
      </c>
      <c r="H3" t="s">
        <v>2876</v>
      </c>
      <c r="I3" s="1">
        <v>2171</v>
      </c>
      <c r="J3">
        <v>6</v>
      </c>
    </row>
    <row r="4" spans="1:27" x14ac:dyDescent="0.25">
      <c r="A4">
        <v>181</v>
      </c>
      <c r="B4">
        <v>181</v>
      </c>
      <c r="C4" t="s">
        <v>923</v>
      </c>
      <c r="D4" t="s">
        <v>2916</v>
      </c>
      <c r="E4" s="1">
        <v>53974</v>
      </c>
      <c r="F4" t="s">
        <v>924</v>
      </c>
      <c r="G4" t="s">
        <v>925</v>
      </c>
      <c r="H4" t="s">
        <v>926</v>
      </c>
      <c r="I4" s="1">
        <v>1499</v>
      </c>
      <c r="J4">
        <v>6</v>
      </c>
      <c r="M4">
        <v>2008</v>
      </c>
      <c r="N4" s="1">
        <f>AVERAGE(E2:E8)</f>
        <v>16945.714285714286</v>
      </c>
      <c r="AA4" s="1">
        <f>SUM(E2:E8)</f>
        <v>118620</v>
      </c>
    </row>
    <row r="5" spans="1:27" x14ac:dyDescent="0.25">
      <c r="A5">
        <v>168</v>
      </c>
      <c r="B5">
        <v>168</v>
      </c>
      <c r="C5" t="s">
        <v>858</v>
      </c>
      <c r="D5" t="s">
        <v>2916</v>
      </c>
      <c r="E5">
        <v>667</v>
      </c>
      <c r="F5" t="s">
        <v>859</v>
      </c>
      <c r="G5" t="s">
        <v>860</v>
      </c>
      <c r="H5" t="s">
        <v>861</v>
      </c>
      <c r="I5" s="1">
        <v>2988</v>
      </c>
      <c r="J5">
        <v>2</v>
      </c>
      <c r="M5">
        <v>2009</v>
      </c>
      <c r="N5" s="1">
        <f>AVERAGE(E9:E41)</f>
        <v>43330.969696969696</v>
      </c>
      <c r="AA5" s="1">
        <f>SUM(E9:E41)</f>
        <v>1429922</v>
      </c>
    </row>
    <row r="6" spans="1:27" x14ac:dyDescent="0.25">
      <c r="A6">
        <v>109</v>
      </c>
      <c r="B6">
        <v>109</v>
      </c>
      <c r="C6" t="s">
        <v>568</v>
      </c>
      <c r="D6" t="s">
        <v>2916</v>
      </c>
      <c r="E6" s="1">
        <v>10860</v>
      </c>
      <c r="F6" t="s">
        <v>569</v>
      </c>
      <c r="G6" t="s">
        <v>570</v>
      </c>
      <c r="H6" t="s">
        <v>571</v>
      </c>
      <c r="I6" s="1">
        <v>363732</v>
      </c>
      <c r="J6">
        <v>2</v>
      </c>
      <c r="M6">
        <v>2010</v>
      </c>
      <c r="N6" s="1">
        <f>AVERAGE(E42:E114)</f>
        <v>24200.273972602739</v>
      </c>
      <c r="AA6" s="1">
        <f>SUM(E42:E114)</f>
        <v>1766620</v>
      </c>
    </row>
    <row r="7" spans="1:27" x14ac:dyDescent="0.25">
      <c r="A7">
        <v>34</v>
      </c>
      <c r="B7">
        <v>34</v>
      </c>
      <c r="C7" t="s">
        <v>195</v>
      </c>
      <c r="D7" t="s">
        <v>2916</v>
      </c>
      <c r="E7" s="1">
        <v>13379</v>
      </c>
      <c r="F7" t="s">
        <v>196</v>
      </c>
      <c r="G7" t="s">
        <v>197</v>
      </c>
      <c r="H7" t="s">
        <v>198</v>
      </c>
      <c r="I7" s="1">
        <v>15750</v>
      </c>
      <c r="J7">
        <v>3</v>
      </c>
      <c r="M7">
        <v>2011</v>
      </c>
      <c r="N7" s="1">
        <f>AVERAGE(E115:E192)</f>
        <v>23719.371794871793</v>
      </c>
      <c r="AA7" s="1">
        <f>SUM(E115:E192)</f>
        <v>1850111</v>
      </c>
    </row>
    <row r="8" spans="1:27" x14ac:dyDescent="0.25">
      <c r="A8">
        <v>487</v>
      </c>
      <c r="B8">
        <v>487</v>
      </c>
      <c r="C8" t="s">
        <v>2406</v>
      </c>
      <c r="D8" t="s">
        <v>2917</v>
      </c>
      <c r="E8" s="1">
        <v>23239</v>
      </c>
      <c r="F8" t="s">
        <v>2407</v>
      </c>
      <c r="G8" t="s">
        <v>2408</v>
      </c>
      <c r="J8">
        <v>2</v>
      </c>
      <c r="M8">
        <v>2012</v>
      </c>
      <c r="N8" s="1">
        <f>AVERAGE(E193:E260)</f>
        <v>24866.602941176472</v>
      </c>
      <c r="AA8" s="1">
        <f>SUM(E193:E260)</f>
        <v>1690929</v>
      </c>
    </row>
    <row r="9" spans="1:27" x14ac:dyDescent="0.25">
      <c r="A9">
        <v>98</v>
      </c>
      <c r="B9">
        <v>98</v>
      </c>
      <c r="C9" t="s">
        <v>515</v>
      </c>
      <c r="D9" t="s">
        <v>2916</v>
      </c>
      <c r="E9" s="1">
        <v>45094</v>
      </c>
      <c r="F9" t="s">
        <v>516</v>
      </c>
      <c r="G9" t="s">
        <v>517</v>
      </c>
      <c r="H9" t="s">
        <v>518</v>
      </c>
      <c r="I9" s="1">
        <v>101533</v>
      </c>
      <c r="J9">
        <v>5</v>
      </c>
      <c r="M9">
        <v>2013</v>
      </c>
      <c r="N9">
        <f>AVERAGE(E261:E332)</f>
        <v>30680.25</v>
      </c>
      <c r="AA9">
        <f>SUM(E261:E332)</f>
        <v>2208978</v>
      </c>
    </row>
    <row r="10" spans="1:27" x14ac:dyDescent="0.25">
      <c r="A10">
        <v>104</v>
      </c>
      <c r="B10">
        <v>104</v>
      </c>
      <c r="C10" t="s">
        <v>544</v>
      </c>
      <c r="D10" t="s">
        <v>2916</v>
      </c>
      <c r="E10" s="1">
        <v>9102</v>
      </c>
      <c r="F10" t="s">
        <v>545</v>
      </c>
      <c r="G10" t="s">
        <v>546</v>
      </c>
      <c r="H10" t="s">
        <v>547</v>
      </c>
      <c r="I10" s="1">
        <v>196096</v>
      </c>
      <c r="J10">
        <v>6</v>
      </c>
      <c r="M10">
        <v>2014</v>
      </c>
      <c r="N10" s="1">
        <f>AVERAGE(E333:E381)</f>
        <v>15057.102040816326</v>
      </c>
      <c r="AA10" s="1">
        <f>SUM(E333:E381)</f>
        <v>737798</v>
      </c>
    </row>
    <row r="11" spans="1:27" x14ac:dyDescent="0.25">
      <c r="A11">
        <v>23</v>
      </c>
      <c r="B11">
        <v>23</v>
      </c>
      <c r="C11" t="s">
        <v>139</v>
      </c>
      <c r="D11" t="s">
        <v>2917</v>
      </c>
      <c r="E11" s="1">
        <v>1323</v>
      </c>
      <c r="F11" t="s">
        <v>140</v>
      </c>
      <c r="G11" t="s">
        <v>141</v>
      </c>
      <c r="H11" t="s">
        <v>142</v>
      </c>
      <c r="I11" s="1">
        <v>13197</v>
      </c>
      <c r="J11">
        <v>2</v>
      </c>
      <c r="M11">
        <v>2015</v>
      </c>
      <c r="N11" s="1">
        <f>AVERAGE(E382:E460)</f>
        <v>14139.556962025317</v>
      </c>
      <c r="AA11" s="1">
        <f>SUM(E382:E460)</f>
        <v>1117025</v>
      </c>
    </row>
    <row r="12" spans="1:27" x14ac:dyDescent="0.25">
      <c r="A12">
        <v>367</v>
      </c>
      <c r="B12">
        <v>367</v>
      </c>
      <c r="C12" t="s">
        <v>1829</v>
      </c>
      <c r="D12" t="s">
        <v>2916</v>
      </c>
      <c r="E12" s="1">
        <v>7471</v>
      </c>
      <c r="F12" t="s">
        <v>1830</v>
      </c>
      <c r="G12" t="s">
        <v>1831</v>
      </c>
      <c r="H12" t="s">
        <v>1832</v>
      </c>
      <c r="I12" s="1">
        <v>5885</v>
      </c>
      <c r="J12">
        <v>4</v>
      </c>
      <c r="M12">
        <v>2016</v>
      </c>
      <c r="N12" s="1">
        <f>AVERAGE(E461:E507)</f>
        <v>6514</v>
      </c>
      <c r="AA12" s="1">
        <f>SUM(E461:E507)</f>
        <v>299644</v>
      </c>
    </row>
    <row r="13" spans="1:27" x14ac:dyDescent="0.25">
      <c r="A13">
        <v>63</v>
      </c>
      <c r="B13">
        <v>63</v>
      </c>
      <c r="C13" t="s">
        <v>341</v>
      </c>
      <c r="D13" t="s">
        <v>2916</v>
      </c>
      <c r="E13" s="1">
        <v>10653</v>
      </c>
      <c r="F13" t="s">
        <v>342</v>
      </c>
      <c r="G13" t="s">
        <v>343</v>
      </c>
      <c r="H13" t="s">
        <v>344</v>
      </c>
      <c r="I13" s="1">
        <v>26693</v>
      </c>
      <c r="J13">
        <v>6</v>
      </c>
      <c r="M13">
        <v>2017</v>
      </c>
      <c r="N13">
        <f>AVERAGE(E508:E542)</f>
        <v>10572.457142857143</v>
      </c>
      <c r="AA13">
        <f>SUM(E508:E542)</f>
        <v>370036</v>
      </c>
    </row>
    <row r="14" spans="1:27" x14ac:dyDescent="0.25">
      <c r="A14">
        <v>70</v>
      </c>
      <c r="B14">
        <v>70</v>
      </c>
      <c r="C14" t="s">
        <v>377</v>
      </c>
      <c r="D14" t="s">
        <v>2916</v>
      </c>
      <c r="E14" s="1">
        <v>19349</v>
      </c>
      <c r="F14" t="s">
        <v>378</v>
      </c>
      <c r="G14" t="s">
        <v>379</v>
      </c>
      <c r="H14" t="s">
        <v>380</v>
      </c>
      <c r="I14" s="1">
        <v>32290</v>
      </c>
      <c r="J14">
        <v>4</v>
      </c>
      <c r="M14">
        <v>2018</v>
      </c>
      <c r="N14" s="1">
        <f>AVERAGE(E543:E564)</f>
        <v>7694.727272727273</v>
      </c>
      <c r="AA14" s="1">
        <f>SUM(E543:E564)</f>
        <v>169284</v>
      </c>
    </row>
    <row r="15" spans="1:27" x14ac:dyDescent="0.25">
      <c r="A15">
        <v>19</v>
      </c>
      <c r="B15">
        <v>19</v>
      </c>
      <c r="C15" t="s">
        <v>118</v>
      </c>
      <c r="D15" t="s">
        <v>2916</v>
      </c>
      <c r="E15" s="1">
        <v>6780</v>
      </c>
      <c r="F15" t="s">
        <v>119</v>
      </c>
      <c r="G15" t="s">
        <v>120</v>
      </c>
      <c r="H15" t="s">
        <v>121</v>
      </c>
      <c r="I15" s="1">
        <v>12416</v>
      </c>
      <c r="J15">
        <v>1</v>
      </c>
      <c r="M15">
        <v>2019</v>
      </c>
      <c r="N15" s="1">
        <f>AVERAGE(E565:E578)</f>
        <v>1878.1428571428571</v>
      </c>
      <c r="AA15" s="1">
        <f>SUM(E565:E578)</f>
        <v>26294</v>
      </c>
    </row>
    <row r="16" spans="1:27" x14ac:dyDescent="0.25">
      <c r="A16">
        <v>33</v>
      </c>
      <c r="B16">
        <v>33</v>
      </c>
      <c r="C16" t="s">
        <v>190</v>
      </c>
      <c r="D16" t="s">
        <v>2916</v>
      </c>
      <c r="E16" s="1">
        <v>4696</v>
      </c>
      <c r="F16" t="s">
        <v>191</v>
      </c>
      <c r="G16" t="s">
        <v>192</v>
      </c>
      <c r="H16" t="s">
        <v>193</v>
      </c>
      <c r="I16" s="1">
        <v>15695</v>
      </c>
      <c r="J16">
        <v>6</v>
      </c>
      <c r="M16">
        <v>2020</v>
      </c>
      <c r="N16" s="1">
        <f>AVERAGE(E579:E583)</f>
        <v>3031</v>
      </c>
      <c r="AA16" s="1">
        <f>SUM(E579:E583)</f>
        <v>15155</v>
      </c>
    </row>
    <row r="17" spans="1:14" x14ac:dyDescent="0.25">
      <c r="A17">
        <v>369</v>
      </c>
      <c r="B17">
        <v>369</v>
      </c>
      <c r="C17" t="s">
        <v>1839</v>
      </c>
      <c r="D17" t="s">
        <v>2916</v>
      </c>
      <c r="E17" s="1">
        <v>56083</v>
      </c>
      <c r="F17" t="s">
        <v>1840</v>
      </c>
      <c r="G17" t="s">
        <v>1841</v>
      </c>
      <c r="H17" t="s">
        <v>1842</v>
      </c>
      <c r="I17" s="1">
        <v>6458</v>
      </c>
      <c r="J17">
        <v>6</v>
      </c>
    </row>
    <row r="18" spans="1:14" x14ac:dyDescent="0.25">
      <c r="A18">
        <v>154</v>
      </c>
      <c r="B18">
        <v>154</v>
      </c>
      <c r="C18" t="s">
        <v>790</v>
      </c>
      <c r="D18" t="s">
        <v>2916</v>
      </c>
      <c r="E18" s="1">
        <v>7028</v>
      </c>
      <c r="F18" t="s">
        <v>791</v>
      </c>
      <c r="G18" t="s">
        <v>792</v>
      </c>
      <c r="H18" t="s">
        <v>793</v>
      </c>
      <c r="I18">
        <v>268</v>
      </c>
      <c r="J18">
        <v>3</v>
      </c>
    </row>
    <row r="19" spans="1:14" x14ac:dyDescent="0.25">
      <c r="A19">
        <v>266</v>
      </c>
      <c r="B19">
        <v>266</v>
      </c>
      <c r="C19" t="s">
        <v>1337</v>
      </c>
      <c r="D19" t="s">
        <v>2917</v>
      </c>
      <c r="E19" s="1">
        <v>3903</v>
      </c>
      <c r="F19" t="s">
        <v>1338</v>
      </c>
      <c r="G19" t="s">
        <v>1339</v>
      </c>
      <c r="H19" t="s">
        <v>1340</v>
      </c>
      <c r="I19" s="1">
        <v>8220</v>
      </c>
      <c r="J19">
        <v>1</v>
      </c>
    </row>
    <row r="20" spans="1:14" x14ac:dyDescent="0.25">
      <c r="A20">
        <v>502</v>
      </c>
      <c r="B20">
        <v>502</v>
      </c>
      <c r="C20" t="s">
        <v>2475</v>
      </c>
      <c r="D20" t="s">
        <v>2916</v>
      </c>
      <c r="E20" s="1">
        <v>104499</v>
      </c>
      <c r="F20" t="s">
        <v>2476</v>
      </c>
      <c r="G20" t="s">
        <v>2477</v>
      </c>
      <c r="J20">
        <v>7</v>
      </c>
    </row>
    <row r="21" spans="1:14" x14ac:dyDescent="0.25">
      <c r="A21">
        <v>242</v>
      </c>
      <c r="B21">
        <v>242</v>
      </c>
      <c r="C21" t="s">
        <v>1222</v>
      </c>
      <c r="D21" t="s">
        <v>2916</v>
      </c>
      <c r="E21" s="1">
        <v>16982</v>
      </c>
      <c r="F21" t="s">
        <v>1223</v>
      </c>
      <c r="G21" t="s">
        <v>1224</v>
      </c>
      <c r="H21" t="s">
        <v>1225</v>
      </c>
      <c r="I21" s="1">
        <v>8252</v>
      </c>
      <c r="J21">
        <v>8</v>
      </c>
    </row>
    <row r="22" spans="1:14" x14ac:dyDescent="0.25">
      <c r="A22">
        <v>391</v>
      </c>
      <c r="B22">
        <v>391</v>
      </c>
      <c r="C22" t="s">
        <v>1946</v>
      </c>
      <c r="D22" t="s">
        <v>2916</v>
      </c>
      <c r="E22" s="1">
        <v>7817</v>
      </c>
      <c r="F22" t="s">
        <v>1947</v>
      </c>
      <c r="G22" t="s">
        <v>1948</v>
      </c>
      <c r="H22" t="s">
        <v>1949</v>
      </c>
      <c r="I22" s="1">
        <v>2864</v>
      </c>
      <c r="J22">
        <v>5</v>
      </c>
    </row>
    <row r="23" spans="1:14" x14ac:dyDescent="0.25">
      <c r="A23">
        <v>570</v>
      </c>
      <c r="B23">
        <v>570</v>
      </c>
      <c r="C23" t="s">
        <v>2803</v>
      </c>
      <c r="D23" t="s">
        <v>2917</v>
      </c>
      <c r="E23" s="1">
        <v>3387</v>
      </c>
      <c r="F23" t="s">
        <v>2804</v>
      </c>
      <c r="G23" t="s">
        <v>2805</v>
      </c>
      <c r="H23" t="s">
        <v>2806</v>
      </c>
      <c r="I23" s="1">
        <v>1289</v>
      </c>
      <c r="J23">
        <v>4</v>
      </c>
    </row>
    <row r="24" spans="1:14" x14ac:dyDescent="0.25">
      <c r="A24">
        <v>84</v>
      </c>
      <c r="B24">
        <v>84</v>
      </c>
      <c r="C24" t="s">
        <v>447</v>
      </c>
      <c r="D24" t="s">
        <v>2916</v>
      </c>
      <c r="E24" s="1">
        <v>79517</v>
      </c>
      <c r="F24" t="s">
        <v>448</v>
      </c>
      <c r="G24" t="s">
        <v>449</v>
      </c>
      <c r="H24" t="s">
        <v>450</v>
      </c>
      <c r="I24" s="1">
        <v>53656</v>
      </c>
      <c r="J24">
        <v>10</v>
      </c>
    </row>
    <row r="25" spans="1:14" x14ac:dyDescent="0.25">
      <c r="A25">
        <v>64</v>
      </c>
      <c r="B25">
        <v>64</v>
      </c>
      <c r="C25" t="s">
        <v>346</v>
      </c>
      <c r="D25" t="s">
        <v>2916</v>
      </c>
      <c r="E25" s="1">
        <v>107712</v>
      </c>
      <c r="F25" t="s">
        <v>347</v>
      </c>
      <c r="G25" t="s">
        <v>348</v>
      </c>
      <c r="H25" t="s">
        <v>349</v>
      </c>
      <c r="I25" s="1">
        <v>26845</v>
      </c>
      <c r="J25">
        <v>11</v>
      </c>
    </row>
    <row r="26" spans="1:14" x14ac:dyDescent="0.25">
      <c r="A26">
        <v>419</v>
      </c>
      <c r="B26">
        <v>419</v>
      </c>
      <c r="C26" t="s">
        <v>2082</v>
      </c>
      <c r="D26" t="s">
        <v>2916</v>
      </c>
      <c r="E26" s="1">
        <v>6100</v>
      </c>
      <c r="F26" t="s">
        <v>2083</v>
      </c>
      <c r="G26" t="s">
        <v>2084</v>
      </c>
      <c r="H26" t="s">
        <v>2085</v>
      </c>
      <c r="I26" s="1">
        <v>2020</v>
      </c>
      <c r="J26">
        <v>2</v>
      </c>
    </row>
    <row r="27" spans="1:14" x14ac:dyDescent="0.25">
      <c r="A27">
        <v>110</v>
      </c>
      <c r="B27">
        <v>110</v>
      </c>
      <c r="C27" t="s">
        <v>573</v>
      </c>
      <c r="D27" t="s">
        <v>2916</v>
      </c>
      <c r="E27" s="1">
        <v>6263</v>
      </c>
      <c r="F27" t="s">
        <v>574</v>
      </c>
      <c r="G27" t="s">
        <v>575</v>
      </c>
      <c r="H27" t="s">
        <v>576</v>
      </c>
      <c r="I27">
        <v>464</v>
      </c>
      <c r="J27">
        <v>6</v>
      </c>
    </row>
    <row r="28" spans="1:14" x14ac:dyDescent="0.25">
      <c r="A28">
        <v>189</v>
      </c>
      <c r="B28">
        <v>189</v>
      </c>
      <c r="C28" t="s">
        <v>963</v>
      </c>
      <c r="D28" t="s">
        <v>2916</v>
      </c>
      <c r="E28" s="1">
        <v>44462</v>
      </c>
      <c r="F28" t="s">
        <v>964</v>
      </c>
      <c r="G28" t="s">
        <v>965</v>
      </c>
      <c r="H28" t="s">
        <v>966</v>
      </c>
      <c r="I28" s="1">
        <v>7984</v>
      </c>
      <c r="J28">
        <v>10</v>
      </c>
    </row>
    <row r="29" spans="1:14" x14ac:dyDescent="0.25">
      <c r="A29">
        <v>27</v>
      </c>
      <c r="B29">
        <v>27</v>
      </c>
      <c r="C29" t="s">
        <v>159</v>
      </c>
      <c r="D29" t="s">
        <v>2916</v>
      </c>
      <c r="E29" s="1">
        <v>10736</v>
      </c>
      <c r="F29" t="s">
        <v>160</v>
      </c>
      <c r="G29" t="s">
        <v>161</v>
      </c>
      <c r="H29" t="s">
        <v>162</v>
      </c>
      <c r="I29" s="1">
        <v>14372</v>
      </c>
      <c r="J29">
        <v>2</v>
      </c>
    </row>
    <row r="30" spans="1:14" x14ac:dyDescent="0.25">
      <c r="A30">
        <v>215</v>
      </c>
      <c r="B30">
        <v>215</v>
      </c>
      <c r="C30" t="s">
        <v>1089</v>
      </c>
      <c r="D30" t="s">
        <v>2916</v>
      </c>
      <c r="E30" s="1">
        <v>30979</v>
      </c>
      <c r="F30" t="s">
        <v>1090</v>
      </c>
      <c r="G30" t="s">
        <v>1091</v>
      </c>
      <c r="H30" t="s">
        <v>1092</v>
      </c>
      <c r="I30" s="1">
        <v>1173</v>
      </c>
      <c r="J30">
        <v>3</v>
      </c>
    </row>
    <row r="31" spans="1:14" x14ac:dyDescent="0.25">
      <c r="A31">
        <v>247</v>
      </c>
      <c r="B31">
        <v>247</v>
      </c>
      <c r="C31" t="s">
        <v>1246</v>
      </c>
      <c r="D31" t="s">
        <v>2917</v>
      </c>
      <c r="E31" s="1">
        <v>5047</v>
      </c>
      <c r="F31" t="s">
        <v>1247</v>
      </c>
      <c r="G31" t="s">
        <v>1248</v>
      </c>
      <c r="J31">
        <v>4</v>
      </c>
    </row>
    <row r="32" spans="1:14" x14ac:dyDescent="0.25">
      <c r="A32">
        <v>68</v>
      </c>
      <c r="B32">
        <v>68</v>
      </c>
      <c r="C32" t="s">
        <v>367</v>
      </c>
      <c r="D32" t="s">
        <v>2916</v>
      </c>
      <c r="E32" s="1">
        <v>14072</v>
      </c>
      <c r="F32" t="s">
        <v>368</v>
      </c>
      <c r="G32" t="s">
        <v>369</v>
      </c>
      <c r="H32" t="s">
        <v>370</v>
      </c>
      <c r="I32" s="1">
        <v>30903</v>
      </c>
      <c r="J32">
        <v>10</v>
      </c>
      <c r="N32" s="1"/>
    </row>
    <row r="33" spans="1:14" x14ac:dyDescent="0.25">
      <c r="A33">
        <v>275</v>
      </c>
      <c r="B33">
        <v>275</v>
      </c>
      <c r="C33" t="s">
        <v>1382</v>
      </c>
      <c r="D33" t="s">
        <v>2916</v>
      </c>
      <c r="E33" s="1">
        <v>4318</v>
      </c>
      <c r="F33" t="s">
        <v>1383</v>
      </c>
      <c r="G33" t="s">
        <v>1384</v>
      </c>
      <c r="H33" t="s">
        <v>1385</v>
      </c>
      <c r="I33" s="1">
        <v>2777</v>
      </c>
      <c r="J33">
        <v>6</v>
      </c>
      <c r="N33" s="1"/>
    </row>
    <row r="34" spans="1:14" x14ac:dyDescent="0.25">
      <c r="A34">
        <v>208</v>
      </c>
      <c r="B34">
        <v>208</v>
      </c>
      <c r="C34" t="s">
        <v>1056</v>
      </c>
      <c r="D34" t="s">
        <v>2916</v>
      </c>
      <c r="E34" s="1">
        <v>6629</v>
      </c>
      <c r="F34" t="s">
        <v>1057</v>
      </c>
      <c r="G34" t="s">
        <v>1058</v>
      </c>
      <c r="H34" t="s">
        <v>1059</v>
      </c>
      <c r="I34">
        <v>115</v>
      </c>
      <c r="J34">
        <v>4</v>
      </c>
      <c r="N34" s="1"/>
    </row>
    <row r="35" spans="1:14" x14ac:dyDescent="0.25">
      <c r="A35">
        <v>344</v>
      </c>
      <c r="B35">
        <v>344</v>
      </c>
      <c r="C35" t="s">
        <v>1715</v>
      </c>
      <c r="D35" t="s">
        <v>2916</v>
      </c>
      <c r="E35" s="1">
        <v>8197</v>
      </c>
      <c r="F35" t="s">
        <v>1716</v>
      </c>
      <c r="G35" t="s">
        <v>1717</v>
      </c>
      <c r="H35" t="s">
        <v>1718</v>
      </c>
      <c r="I35">
        <v>244</v>
      </c>
      <c r="J35">
        <v>3</v>
      </c>
      <c r="N35" s="1"/>
    </row>
    <row r="36" spans="1:14" x14ac:dyDescent="0.25">
      <c r="A36">
        <v>382</v>
      </c>
      <c r="B36">
        <v>382</v>
      </c>
      <c r="C36" t="s">
        <v>1903</v>
      </c>
      <c r="D36" t="s">
        <v>2916</v>
      </c>
      <c r="E36" s="1">
        <v>21529</v>
      </c>
      <c r="F36" t="s">
        <v>1904</v>
      </c>
      <c r="G36" t="s">
        <v>1905</v>
      </c>
      <c r="H36" t="s">
        <v>1906</v>
      </c>
      <c r="I36" s="1">
        <v>1924</v>
      </c>
      <c r="J36">
        <v>3</v>
      </c>
      <c r="N36" s="1"/>
    </row>
    <row r="37" spans="1:14" x14ac:dyDescent="0.25">
      <c r="A37">
        <v>550</v>
      </c>
      <c r="B37">
        <v>550</v>
      </c>
      <c r="C37" t="s">
        <v>2706</v>
      </c>
      <c r="D37" t="s">
        <v>2917</v>
      </c>
      <c r="E37" s="1">
        <v>2739</v>
      </c>
      <c r="F37" t="s">
        <v>2707</v>
      </c>
      <c r="G37" t="s">
        <v>2708</v>
      </c>
      <c r="H37" t="s">
        <v>2709</v>
      </c>
      <c r="I37" s="1">
        <v>1323</v>
      </c>
      <c r="J37">
        <v>3</v>
      </c>
    </row>
    <row r="38" spans="1:14" x14ac:dyDescent="0.25">
      <c r="A38">
        <v>521</v>
      </c>
      <c r="B38">
        <v>521</v>
      </c>
      <c r="C38" t="s">
        <v>2565</v>
      </c>
      <c r="D38" t="s">
        <v>2917</v>
      </c>
      <c r="E38" s="1">
        <v>10291</v>
      </c>
      <c r="F38" t="s">
        <v>2566</v>
      </c>
      <c r="G38" t="s">
        <v>2567</v>
      </c>
      <c r="H38" t="s">
        <v>2568</v>
      </c>
      <c r="I38">
        <v>633</v>
      </c>
      <c r="J38">
        <v>5</v>
      </c>
      <c r="N38" s="1"/>
    </row>
    <row r="39" spans="1:14" x14ac:dyDescent="0.25">
      <c r="A39">
        <v>334</v>
      </c>
      <c r="B39">
        <v>334</v>
      </c>
      <c r="C39" t="s">
        <v>1667</v>
      </c>
      <c r="D39" t="s">
        <v>2916</v>
      </c>
      <c r="E39" s="1">
        <v>682572</v>
      </c>
      <c r="F39" t="s">
        <v>1668</v>
      </c>
      <c r="G39" t="s">
        <v>1669</v>
      </c>
      <c r="H39" t="s">
        <v>1670</v>
      </c>
      <c r="I39" s="1">
        <v>4939</v>
      </c>
      <c r="J39">
        <v>16</v>
      </c>
      <c r="N39" s="1"/>
    </row>
    <row r="40" spans="1:14" x14ac:dyDescent="0.25">
      <c r="A40">
        <v>79</v>
      </c>
      <c r="B40">
        <v>79</v>
      </c>
      <c r="C40" t="s">
        <v>422</v>
      </c>
      <c r="D40" t="s">
        <v>2916</v>
      </c>
      <c r="E40" s="1">
        <v>81355</v>
      </c>
      <c r="F40" t="s">
        <v>423</v>
      </c>
      <c r="G40" t="s">
        <v>424</v>
      </c>
      <c r="H40" t="s">
        <v>425</v>
      </c>
      <c r="I40" s="1">
        <v>46372</v>
      </c>
      <c r="J40">
        <v>12</v>
      </c>
      <c r="N40" s="1"/>
    </row>
    <row r="41" spans="1:14" x14ac:dyDescent="0.25">
      <c r="A41">
        <v>59</v>
      </c>
      <c r="B41">
        <v>59</v>
      </c>
      <c r="C41" t="s">
        <v>322</v>
      </c>
      <c r="D41" t="s">
        <v>2916</v>
      </c>
      <c r="E41" s="1">
        <v>3237</v>
      </c>
      <c r="F41" t="s">
        <v>323</v>
      </c>
      <c r="G41" t="s">
        <v>324</v>
      </c>
      <c r="H41" t="s">
        <v>325</v>
      </c>
      <c r="I41" s="1">
        <v>25641</v>
      </c>
      <c r="J41">
        <v>4</v>
      </c>
    </row>
    <row r="42" spans="1:14" x14ac:dyDescent="0.25">
      <c r="A42">
        <v>429</v>
      </c>
      <c r="B42">
        <v>429</v>
      </c>
      <c r="C42" t="s">
        <v>2130</v>
      </c>
      <c r="D42" t="s">
        <v>2916</v>
      </c>
      <c r="E42" s="1">
        <v>104365</v>
      </c>
      <c r="F42" t="s">
        <v>2131</v>
      </c>
      <c r="G42" t="s">
        <v>2132</v>
      </c>
      <c r="H42" t="s">
        <v>2133</v>
      </c>
      <c r="I42" s="1">
        <v>8209</v>
      </c>
      <c r="J42">
        <v>2</v>
      </c>
      <c r="N42" s="1"/>
    </row>
    <row r="43" spans="1:14" x14ac:dyDescent="0.25">
      <c r="A43">
        <v>273</v>
      </c>
      <c r="B43">
        <v>273</v>
      </c>
      <c r="C43" t="s">
        <v>1372</v>
      </c>
      <c r="D43" t="s">
        <v>2917</v>
      </c>
      <c r="E43" s="1">
        <v>1293</v>
      </c>
      <c r="F43" t="s">
        <v>1373</v>
      </c>
      <c r="G43" t="s">
        <v>1374</v>
      </c>
      <c r="H43" t="s">
        <v>1375</v>
      </c>
      <c r="I43" s="1">
        <v>5625</v>
      </c>
      <c r="J43">
        <v>1</v>
      </c>
      <c r="N43" s="1"/>
    </row>
    <row r="44" spans="1:14" x14ac:dyDescent="0.25">
      <c r="A44">
        <v>47</v>
      </c>
      <c r="B44">
        <v>47</v>
      </c>
      <c r="C44" t="s">
        <v>262</v>
      </c>
      <c r="D44" t="s">
        <v>2916</v>
      </c>
      <c r="E44" s="1">
        <v>8476</v>
      </c>
      <c r="F44" t="s">
        <v>263</v>
      </c>
      <c r="G44" t="s">
        <v>264</v>
      </c>
      <c r="H44" t="s">
        <v>265</v>
      </c>
      <c r="I44" s="1">
        <v>20838</v>
      </c>
      <c r="J44">
        <v>4</v>
      </c>
      <c r="N44" s="1"/>
    </row>
    <row r="45" spans="1:14" x14ac:dyDescent="0.25">
      <c r="A45">
        <v>89</v>
      </c>
      <c r="B45">
        <v>89</v>
      </c>
      <c r="C45" t="s">
        <v>471</v>
      </c>
      <c r="D45" t="s">
        <v>2916</v>
      </c>
      <c r="E45" s="1">
        <v>7397</v>
      </c>
      <c r="F45" t="s">
        <v>472</v>
      </c>
      <c r="G45" t="s">
        <v>473</v>
      </c>
      <c r="H45" t="s">
        <v>474</v>
      </c>
      <c r="I45" s="1">
        <v>71316</v>
      </c>
      <c r="J45">
        <v>6</v>
      </c>
    </row>
    <row r="46" spans="1:14" x14ac:dyDescent="0.25">
      <c r="A46">
        <v>507</v>
      </c>
      <c r="B46">
        <v>507</v>
      </c>
      <c r="C46" t="s">
        <v>2497</v>
      </c>
      <c r="D46" t="s">
        <v>2916</v>
      </c>
      <c r="E46" s="1">
        <v>84527</v>
      </c>
      <c r="F46" t="s">
        <v>2498</v>
      </c>
      <c r="G46" t="s">
        <v>2499</v>
      </c>
      <c r="H46" t="s">
        <v>2500</v>
      </c>
      <c r="I46">
        <v>761</v>
      </c>
      <c r="J46">
        <v>4</v>
      </c>
    </row>
    <row r="47" spans="1:14" x14ac:dyDescent="0.25">
      <c r="A47">
        <v>74</v>
      </c>
      <c r="B47">
        <v>74</v>
      </c>
      <c r="C47" t="s">
        <v>397</v>
      </c>
      <c r="D47" t="s">
        <v>2916</v>
      </c>
      <c r="E47" s="1">
        <v>32744</v>
      </c>
      <c r="F47" t="s">
        <v>398</v>
      </c>
      <c r="G47" t="s">
        <v>399</v>
      </c>
      <c r="H47" t="s">
        <v>400</v>
      </c>
      <c r="I47" s="1">
        <v>35026</v>
      </c>
      <c r="J47">
        <v>4</v>
      </c>
    </row>
    <row r="48" spans="1:14" x14ac:dyDescent="0.25">
      <c r="A48">
        <v>291</v>
      </c>
      <c r="B48">
        <v>291</v>
      </c>
      <c r="C48" t="s">
        <v>1456</v>
      </c>
      <c r="D48" t="s">
        <v>2916</v>
      </c>
      <c r="E48" s="1">
        <v>8377</v>
      </c>
      <c r="F48" t="s">
        <v>1457</v>
      </c>
      <c r="G48" t="s">
        <v>1458</v>
      </c>
      <c r="H48" t="s">
        <v>1459</v>
      </c>
      <c r="I48" s="1">
        <v>4222</v>
      </c>
      <c r="J48">
        <v>2</v>
      </c>
    </row>
    <row r="49" spans="1:10" x14ac:dyDescent="0.25">
      <c r="A49">
        <v>510</v>
      </c>
      <c r="B49">
        <v>510</v>
      </c>
      <c r="C49" t="s">
        <v>2512</v>
      </c>
      <c r="D49" t="s">
        <v>2917</v>
      </c>
      <c r="E49" s="1">
        <v>6631</v>
      </c>
      <c r="F49" t="s">
        <v>2513</v>
      </c>
      <c r="G49" t="s">
        <v>2514</v>
      </c>
      <c r="H49" t="s">
        <v>2515</v>
      </c>
      <c r="I49">
        <v>237</v>
      </c>
      <c r="J49">
        <v>5</v>
      </c>
    </row>
    <row r="50" spans="1:10" x14ac:dyDescent="0.25">
      <c r="A50">
        <v>103</v>
      </c>
      <c r="B50">
        <v>103</v>
      </c>
      <c r="C50" t="s">
        <v>539</v>
      </c>
      <c r="D50" t="s">
        <v>2916</v>
      </c>
      <c r="E50" s="1">
        <v>1375</v>
      </c>
      <c r="F50" t="s">
        <v>540</v>
      </c>
      <c r="G50" t="s">
        <v>541</v>
      </c>
      <c r="H50" t="s">
        <v>542</v>
      </c>
      <c r="I50" s="1">
        <v>166407</v>
      </c>
      <c r="J50">
        <v>4</v>
      </c>
    </row>
    <row r="51" spans="1:10" x14ac:dyDescent="0.25">
      <c r="A51">
        <v>29</v>
      </c>
      <c r="B51">
        <v>29</v>
      </c>
      <c r="C51" t="s">
        <v>169</v>
      </c>
      <c r="D51" t="s">
        <v>2917</v>
      </c>
      <c r="E51">
        <v>892</v>
      </c>
      <c r="F51" t="s">
        <v>170</v>
      </c>
      <c r="G51" t="s">
        <v>171</v>
      </c>
      <c r="H51" t="s">
        <v>172</v>
      </c>
      <c r="I51" s="1">
        <v>14830</v>
      </c>
      <c r="J51">
        <v>4</v>
      </c>
    </row>
    <row r="52" spans="1:10" x14ac:dyDescent="0.25">
      <c r="A52">
        <v>30</v>
      </c>
      <c r="B52">
        <v>30</v>
      </c>
      <c r="C52" t="s">
        <v>175</v>
      </c>
      <c r="D52" t="s">
        <v>2916</v>
      </c>
      <c r="E52" s="1">
        <v>13939</v>
      </c>
      <c r="F52" t="s">
        <v>176</v>
      </c>
      <c r="G52" t="s">
        <v>177</v>
      </c>
      <c r="H52" t="s">
        <v>178</v>
      </c>
      <c r="I52" s="1">
        <v>14961</v>
      </c>
      <c r="J52">
        <v>2</v>
      </c>
    </row>
    <row r="53" spans="1:10" x14ac:dyDescent="0.25">
      <c r="A53">
        <v>559</v>
      </c>
      <c r="B53">
        <v>559</v>
      </c>
      <c r="C53" t="s">
        <v>2750</v>
      </c>
      <c r="D53" t="s">
        <v>2916</v>
      </c>
      <c r="E53" s="1">
        <v>56725</v>
      </c>
      <c r="F53" t="s">
        <v>2751</v>
      </c>
      <c r="G53" t="s">
        <v>2752</v>
      </c>
      <c r="H53" t="s">
        <v>2753</v>
      </c>
      <c r="I53" s="1">
        <v>1089</v>
      </c>
      <c r="J53">
        <v>4</v>
      </c>
    </row>
    <row r="54" spans="1:10" x14ac:dyDescent="0.25">
      <c r="A54">
        <v>14</v>
      </c>
      <c r="B54">
        <v>14</v>
      </c>
      <c r="C54" t="s">
        <v>92</v>
      </c>
      <c r="D54" t="s">
        <v>2916</v>
      </c>
      <c r="E54" s="1">
        <v>4422</v>
      </c>
      <c r="F54" t="s">
        <v>93</v>
      </c>
      <c r="G54" t="s">
        <v>94</v>
      </c>
      <c r="H54" t="s">
        <v>95</v>
      </c>
      <c r="I54" s="1">
        <v>11875</v>
      </c>
      <c r="J54">
        <v>4</v>
      </c>
    </row>
    <row r="55" spans="1:10" x14ac:dyDescent="0.25">
      <c r="A55">
        <v>39</v>
      </c>
      <c r="B55">
        <v>39</v>
      </c>
      <c r="C55" t="s">
        <v>220</v>
      </c>
      <c r="D55" t="s">
        <v>2917</v>
      </c>
      <c r="E55">
        <v>667</v>
      </c>
      <c r="F55" t="s">
        <v>221</v>
      </c>
      <c r="G55" t="s">
        <v>222</v>
      </c>
      <c r="H55" t="s">
        <v>223</v>
      </c>
      <c r="I55" s="1">
        <v>17967</v>
      </c>
      <c r="J55">
        <v>1</v>
      </c>
    </row>
    <row r="56" spans="1:10" x14ac:dyDescent="0.25">
      <c r="A56">
        <v>505</v>
      </c>
      <c r="B56">
        <v>505</v>
      </c>
      <c r="C56" t="s">
        <v>2488</v>
      </c>
      <c r="D56" t="s">
        <v>2916</v>
      </c>
      <c r="E56" s="1">
        <v>41323</v>
      </c>
      <c r="F56" t="s">
        <v>2489</v>
      </c>
      <c r="G56" t="s">
        <v>2490</v>
      </c>
      <c r="H56" t="s">
        <v>2491</v>
      </c>
      <c r="I56" s="1">
        <v>8255</v>
      </c>
      <c r="J56">
        <v>3</v>
      </c>
    </row>
    <row r="57" spans="1:10" x14ac:dyDescent="0.25">
      <c r="A57">
        <v>216</v>
      </c>
      <c r="B57">
        <v>216</v>
      </c>
      <c r="C57" t="s">
        <v>1094</v>
      </c>
      <c r="D57" t="s">
        <v>2916</v>
      </c>
      <c r="E57" s="1">
        <v>3363</v>
      </c>
      <c r="F57" t="s">
        <v>1095</v>
      </c>
      <c r="G57" t="s">
        <v>1096</v>
      </c>
      <c r="H57" t="s">
        <v>1097</v>
      </c>
      <c r="I57" s="1">
        <v>8241</v>
      </c>
      <c r="J57">
        <v>5</v>
      </c>
    </row>
    <row r="58" spans="1:10" x14ac:dyDescent="0.25">
      <c r="A58">
        <v>12</v>
      </c>
      <c r="B58">
        <v>12</v>
      </c>
      <c r="C58" t="s">
        <v>81</v>
      </c>
      <c r="D58" t="s">
        <v>2916</v>
      </c>
      <c r="E58" s="1">
        <v>3338</v>
      </c>
      <c r="F58" t="s">
        <v>82</v>
      </c>
      <c r="G58" t="s">
        <v>83</v>
      </c>
      <c r="H58" t="s">
        <v>84</v>
      </c>
      <c r="I58" s="1">
        <v>11517</v>
      </c>
      <c r="J58">
        <v>6</v>
      </c>
    </row>
    <row r="59" spans="1:10" x14ac:dyDescent="0.25">
      <c r="A59">
        <v>17</v>
      </c>
      <c r="B59">
        <v>17</v>
      </c>
      <c r="C59" t="s">
        <v>108</v>
      </c>
      <c r="D59" t="s">
        <v>2916</v>
      </c>
      <c r="E59" s="1">
        <v>3941</v>
      </c>
      <c r="F59" t="s">
        <v>109</v>
      </c>
      <c r="G59" t="s">
        <v>110</v>
      </c>
      <c r="H59" t="s">
        <v>111</v>
      </c>
      <c r="I59" s="1">
        <v>12284</v>
      </c>
      <c r="J59">
        <v>2</v>
      </c>
    </row>
    <row r="60" spans="1:10" x14ac:dyDescent="0.25">
      <c r="A60">
        <v>93</v>
      </c>
      <c r="B60">
        <v>93</v>
      </c>
      <c r="C60" t="s">
        <v>490</v>
      </c>
      <c r="D60" t="s">
        <v>2916</v>
      </c>
      <c r="E60" s="1">
        <v>2552</v>
      </c>
      <c r="F60" t="s">
        <v>491</v>
      </c>
      <c r="G60" t="s">
        <v>492</v>
      </c>
      <c r="H60" t="s">
        <v>493</v>
      </c>
      <c r="I60" s="1">
        <v>82514</v>
      </c>
      <c r="J60">
        <v>2</v>
      </c>
    </row>
    <row r="61" spans="1:10" x14ac:dyDescent="0.25">
      <c r="A61">
        <v>76</v>
      </c>
      <c r="B61">
        <v>76</v>
      </c>
      <c r="C61" t="s">
        <v>407</v>
      </c>
      <c r="D61" t="s">
        <v>2916</v>
      </c>
      <c r="E61">
        <v>789</v>
      </c>
      <c r="F61" t="s">
        <v>408</v>
      </c>
      <c r="G61" t="s">
        <v>409</v>
      </c>
      <c r="H61" t="s">
        <v>410</v>
      </c>
      <c r="I61" s="1">
        <v>39274</v>
      </c>
      <c r="J61">
        <v>2</v>
      </c>
    </row>
    <row r="62" spans="1:10" x14ac:dyDescent="0.25">
      <c r="A62">
        <v>583</v>
      </c>
      <c r="B62">
        <v>583</v>
      </c>
      <c r="C62" t="s">
        <v>2863</v>
      </c>
      <c r="D62" t="s">
        <v>2916</v>
      </c>
      <c r="E62">
        <v>889</v>
      </c>
      <c r="F62" t="s">
        <v>2864</v>
      </c>
      <c r="G62" t="s">
        <v>2865</v>
      </c>
      <c r="H62" t="s">
        <v>2866</v>
      </c>
      <c r="I62" s="1">
        <v>4947</v>
      </c>
      <c r="J62">
        <v>4</v>
      </c>
    </row>
    <row r="63" spans="1:10" x14ac:dyDescent="0.25">
      <c r="A63">
        <v>414</v>
      </c>
      <c r="B63">
        <v>414</v>
      </c>
      <c r="C63" t="s">
        <v>2059</v>
      </c>
      <c r="D63" t="s">
        <v>2916</v>
      </c>
      <c r="E63" s="1">
        <v>8877</v>
      </c>
      <c r="F63" t="s">
        <v>2060</v>
      </c>
      <c r="G63" t="s">
        <v>2061</v>
      </c>
      <c r="H63" t="s">
        <v>2062</v>
      </c>
      <c r="I63" s="1">
        <v>8076</v>
      </c>
      <c r="J63">
        <v>4</v>
      </c>
    </row>
    <row r="64" spans="1:10" x14ac:dyDescent="0.25">
      <c r="A64">
        <v>332</v>
      </c>
      <c r="B64">
        <v>332</v>
      </c>
      <c r="C64" t="s">
        <v>1657</v>
      </c>
      <c r="D64" t="s">
        <v>2916</v>
      </c>
      <c r="E64" s="1">
        <v>68987</v>
      </c>
      <c r="F64" t="s">
        <v>1658</v>
      </c>
      <c r="G64" t="s">
        <v>1659</v>
      </c>
      <c r="H64" t="s">
        <v>1660</v>
      </c>
      <c r="I64" s="1">
        <v>5461</v>
      </c>
      <c r="J64">
        <v>8</v>
      </c>
    </row>
    <row r="65" spans="1:10" x14ac:dyDescent="0.25">
      <c r="A65">
        <v>479</v>
      </c>
      <c r="B65">
        <v>479</v>
      </c>
      <c r="C65" t="s">
        <v>2371</v>
      </c>
      <c r="D65" t="s">
        <v>2916</v>
      </c>
      <c r="E65" s="1">
        <v>11331</v>
      </c>
      <c r="F65" t="s">
        <v>2372</v>
      </c>
      <c r="G65" t="s">
        <v>2373</v>
      </c>
      <c r="H65" t="s">
        <v>2374</v>
      </c>
      <c r="I65" s="1">
        <v>3634</v>
      </c>
      <c r="J65">
        <v>5</v>
      </c>
    </row>
    <row r="66" spans="1:10" x14ac:dyDescent="0.25">
      <c r="A66">
        <v>57</v>
      </c>
      <c r="B66">
        <v>57</v>
      </c>
      <c r="C66" t="s">
        <v>312</v>
      </c>
      <c r="D66" t="s">
        <v>2916</v>
      </c>
      <c r="E66" s="1">
        <v>52788</v>
      </c>
      <c r="F66" t="s">
        <v>313</v>
      </c>
      <c r="G66" t="s">
        <v>314</v>
      </c>
      <c r="H66" t="s">
        <v>315</v>
      </c>
      <c r="I66" s="1">
        <v>24120</v>
      </c>
      <c r="J66">
        <v>9</v>
      </c>
    </row>
    <row r="67" spans="1:10" x14ac:dyDescent="0.25">
      <c r="A67">
        <v>56</v>
      </c>
      <c r="B67">
        <v>56</v>
      </c>
      <c r="C67" t="s">
        <v>307</v>
      </c>
      <c r="D67" t="s">
        <v>2916</v>
      </c>
      <c r="E67" s="1">
        <v>10943</v>
      </c>
      <c r="F67" t="s">
        <v>308</v>
      </c>
      <c r="G67" t="s">
        <v>309</v>
      </c>
      <c r="H67" t="s">
        <v>310</v>
      </c>
      <c r="I67" s="1">
        <v>23777</v>
      </c>
      <c r="J67">
        <v>4</v>
      </c>
    </row>
    <row r="68" spans="1:10" x14ac:dyDescent="0.25">
      <c r="A68">
        <v>159</v>
      </c>
      <c r="B68">
        <v>159</v>
      </c>
      <c r="C68" t="s">
        <v>814</v>
      </c>
      <c r="D68" t="s">
        <v>2916</v>
      </c>
      <c r="E68" s="1">
        <v>2665</v>
      </c>
      <c r="F68" t="s">
        <v>815</v>
      </c>
      <c r="G68" t="s">
        <v>816</v>
      </c>
      <c r="H68" t="s">
        <v>817</v>
      </c>
      <c r="I68" s="1">
        <v>9870</v>
      </c>
      <c r="J68">
        <v>3</v>
      </c>
    </row>
    <row r="69" spans="1:10" x14ac:dyDescent="0.25">
      <c r="A69">
        <v>122</v>
      </c>
      <c r="B69">
        <v>122</v>
      </c>
      <c r="C69" t="s">
        <v>633</v>
      </c>
      <c r="D69" t="s">
        <v>2916</v>
      </c>
      <c r="E69" s="1">
        <v>43889</v>
      </c>
      <c r="F69" t="s">
        <v>634</v>
      </c>
      <c r="G69" t="s">
        <v>635</v>
      </c>
      <c r="H69" t="s">
        <v>636</v>
      </c>
      <c r="I69" s="1">
        <v>1619</v>
      </c>
      <c r="J69">
        <v>5</v>
      </c>
    </row>
    <row r="70" spans="1:10" x14ac:dyDescent="0.25">
      <c r="A70">
        <v>90</v>
      </c>
      <c r="B70">
        <v>90</v>
      </c>
      <c r="C70" t="s">
        <v>476</v>
      </c>
      <c r="D70" t="s">
        <v>2917</v>
      </c>
      <c r="E70" s="1">
        <v>9744</v>
      </c>
      <c r="F70" t="s">
        <v>477</v>
      </c>
      <c r="G70" t="s">
        <v>478</v>
      </c>
      <c r="H70" t="s">
        <v>479</v>
      </c>
      <c r="I70" s="1">
        <v>76244</v>
      </c>
      <c r="J70">
        <v>4</v>
      </c>
    </row>
    <row r="71" spans="1:10" x14ac:dyDescent="0.25">
      <c r="A71">
        <v>322</v>
      </c>
      <c r="B71">
        <v>322</v>
      </c>
      <c r="C71" t="s">
        <v>1607</v>
      </c>
      <c r="D71" t="s">
        <v>2917</v>
      </c>
      <c r="E71" s="1">
        <v>4902</v>
      </c>
      <c r="F71" t="s">
        <v>1608</v>
      </c>
      <c r="G71" t="s">
        <v>1609</v>
      </c>
      <c r="H71" t="s">
        <v>1610</v>
      </c>
      <c r="I71">
        <v>91</v>
      </c>
      <c r="J71">
        <v>5</v>
      </c>
    </row>
    <row r="72" spans="1:10" x14ac:dyDescent="0.25">
      <c r="A72">
        <v>91</v>
      </c>
      <c r="B72">
        <v>91</v>
      </c>
      <c r="C72" t="s">
        <v>481</v>
      </c>
      <c r="D72" t="s">
        <v>2916</v>
      </c>
      <c r="E72">
        <v>270</v>
      </c>
      <c r="F72" t="s">
        <v>482</v>
      </c>
      <c r="G72" t="s">
        <v>483</v>
      </c>
      <c r="H72" t="s">
        <v>479</v>
      </c>
      <c r="I72" s="1">
        <v>76244</v>
      </c>
      <c r="J72">
        <v>2</v>
      </c>
    </row>
    <row r="73" spans="1:10" x14ac:dyDescent="0.25">
      <c r="A73">
        <v>437</v>
      </c>
      <c r="B73">
        <v>437</v>
      </c>
      <c r="C73" t="s">
        <v>2169</v>
      </c>
      <c r="D73" t="s">
        <v>2917</v>
      </c>
      <c r="E73">
        <v>881</v>
      </c>
      <c r="F73" t="s">
        <v>2170</v>
      </c>
      <c r="G73" t="s">
        <v>2171</v>
      </c>
      <c r="H73" t="s">
        <v>2172</v>
      </c>
      <c r="I73">
        <v>81</v>
      </c>
      <c r="J73">
        <v>2</v>
      </c>
    </row>
    <row r="74" spans="1:10" x14ac:dyDescent="0.25">
      <c r="A74">
        <v>67</v>
      </c>
      <c r="B74">
        <v>67</v>
      </c>
      <c r="C74" t="s">
        <v>361</v>
      </c>
      <c r="D74" t="s">
        <v>2916</v>
      </c>
      <c r="E74" s="1">
        <v>4016</v>
      </c>
      <c r="F74" t="s">
        <v>362</v>
      </c>
      <c r="G74" t="s">
        <v>363</v>
      </c>
      <c r="H74" t="s">
        <v>364</v>
      </c>
      <c r="I74" s="1">
        <v>29459</v>
      </c>
      <c r="J74">
        <v>10</v>
      </c>
    </row>
    <row r="75" spans="1:10" x14ac:dyDescent="0.25">
      <c r="A75">
        <v>486</v>
      </c>
      <c r="B75">
        <v>486</v>
      </c>
      <c r="C75" t="s">
        <v>2401</v>
      </c>
      <c r="D75" t="s">
        <v>2916</v>
      </c>
      <c r="E75" s="1">
        <v>5083</v>
      </c>
      <c r="F75" t="s">
        <v>2402</v>
      </c>
      <c r="G75" t="s">
        <v>2403</v>
      </c>
      <c r="H75" t="s">
        <v>2404</v>
      </c>
      <c r="I75" s="1">
        <v>1254</v>
      </c>
      <c r="J75">
        <v>4</v>
      </c>
    </row>
    <row r="76" spans="1:10" x14ac:dyDescent="0.25">
      <c r="A76">
        <v>99</v>
      </c>
      <c r="B76">
        <v>99</v>
      </c>
      <c r="C76" t="s">
        <v>520</v>
      </c>
      <c r="D76" t="s">
        <v>2916</v>
      </c>
      <c r="E76" s="1">
        <v>7857</v>
      </c>
      <c r="F76" t="s">
        <v>521</v>
      </c>
      <c r="G76" t="s">
        <v>522</v>
      </c>
      <c r="H76" t="s">
        <v>523</v>
      </c>
      <c r="I76" s="1">
        <v>101612</v>
      </c>
      <c r="J76">
        <v>5</v>
      </c>
    </row>
    <row r="77" spans="1:10" x14ac:dyDescent="0.25">
      <c r="A77">
        <v>513</v>
      </c>
      <c r="B77">
        <v>513</v>
      </c>
      <c r="C77" t="s">
        <v>2526</v>
      </c>
      <c r="D77" t="s">
        <v>2916</v>
      </c>
      <c r="E77" s="1">
        <v>6565</v>
      </c>
      <c r="F77" t="s">
        <v>2527</v>
      </c>
      <c r="G77" t="s">
        <v>2528</v>
      </c>
      <c r="H77" t="s">
        <v>2529</v>
      </c>
      <c r="I77" s="1">
        <v>7825</v>
      </c>
      <c r="J77">
        <v>5</v>
      </c>
    </row>
    <row r="78" spans="1:10" x14ac:dyDescent="0.25">
      <c r="A78">
        <v>105</v>
      </c>
      <c r="B78">
        <v>105</v>
      </c>
      <c r="C78" t="s">
        <v>549</v>
      </c>
      <c r="D78" t="s">
        <v>2916</v>
      </c>
      <c r="E78" s="1">
        <v>67679</v>
      </c>
      <c r="F78" t="s">
        <v>550</v>
      </c>
      <c r="G78" t="s">
        <v>551</v>
      </c>
      <c r="H78" t="s">
        <v>552</v>
      </c>
      <c r="I78" s="1">
        <v>215134</v>
      </c>
      <c r="J78">
        <v>4</v>
      </c>
    </row>
    <row r="79" spans="1:10" x14ac:dyDescent="0.25">
      <c r="A79">
        <v>227</v>
      </c>
      <c r="B79">
        <v>227</v>
      </c>
      <c r="C79" t="s">
        <v>1149</v>
      </c>
      <c r="D79" t="s">
        <v>2916</v>
      </c>
      <c r="E79" s="1">
        <v>15562</v>
      </c>
      <c r="F79" t="s">
        <v>1150</v>
      </c>
      <c r="G79" t="s">
        <v>1151</v>
      </c>
      <c r="H79" t="s">
        <v>1152</v>
      </c>
      <c r="I79" s="1">
        <v>4746</v>
      </c>
      <c r="J79">
        <v>2</v>
      </c>
    </row>
    <row r="80" spans="1:10" x14ac:dyDescent="0.25">
      <c r="A80">
        <v>321</v>
      </c>
      <c r="B80">
        <v>321</v>
      </c>
      <c r="C80" t="s">
        <v>1602</v>
      </c>
      <c r="D80" t="s">
        <v>2916</v>
      </c>
      <c r="E80" s="1">
        <v>5890</v>
      </c>
      <c r="F80" t="s">
        <v>1603</v>
      </c>
      <c r="G80" t="s">
        <v>1604</v>
      </c>
      <c r="H80" t="s">
        <v>1605</v>
      </c>
      <c r="I80" s="1">
        <v>7078</v>
      </c>
      <c r="J80">
        <v>1</v>
      </c>
    </row>
    <row r="81" spans="1:10" x14ac:dyDescent="0.25">
      <c r="A81">
        <v>423</v>
      </c>
      <c r="B81">
        <v>423</v>
      </c>
      <c r="C81" t="s">
        <v>2102</v>
      </c>
      <c r="D81" t="s">
        <v>2916</v>
      </c>
      <c r="E81" s="1">
        <v>16185</v>
      </c>
      <c r="F81" t="s">
        <v>2103</v>
      </c>
      <c r="G81" t="s">
        <v>2104</v>
      </c>
      <c r="H81" t="s">
        <v>2105</v>
      </c>
      <c r="I81">
        <v>260</v>
      </c>
      <c r="J81">
        <v>4</v>
      </c>
    </row>
    <row r="82" spans="1:10" x14ac:dyDescent="0.25">
      <c r="A82">
        <v>180</v>
      </c>
      <c r="B82">
        <v>180</v>
      </c>
      <c r="C82" t="s">
        <v>918</v>
      </c>
      <c r="D82" t="s">
        <v>2916</v>
      </c>
      <c r="E82" s="1">
        <v>14130</v>
      </c>
      <c r="F82" t="s">
        <v>919</v>
      </c>
      <c r="G82" t="s">
        <v>920</v>
      </c>
      <c r="H82" t="s">
        <v>921</v>
      </c>
      <c r="I82" s="1">
        <v>5107</v>
      </c>
      <c r="J82">
        <v>6</v>
      </c>
    </row>
    <row r="83" spans="1:10" x14ac:dyDescent="0.25">
      <c r="A83">
        <v>229</v>
      </c>
      <c r="B83">
        <v>229</v>
      </c>
      <c r="C83" t="s">
        <v>1158</v>
      </c>
      <c r="D83" t="s">
        <v>2916</v>
      </c>
      <c r="E83" s="1">
        <v>32278</v>
      </c>
      <c r="F83" t="s">
        <v>1159</v>
      </c>
      <c r="G83" t="s">
        <v>1160</v>
      </c>
      <c r="H83" t="s">
        <v>1161</v>
      </c>
      <c r="I83" s="1">
        <v>4551</v>
      </c>
      <c r="J83">
        <v>2</v>
      </c>
    </row>
    <row r="84" spans="1:10" x14ac:dyDescent="0.25">
      <c r="A84">
        <v>36</v>
      </c>
      <c r="B84">
        <v>36</v>
      </c>
      <c r="C84" t="s">
        <v>205</v>
      </c>
      <c r="D84" t="s">
        <v>2916</v>
      </c>
      <c r="E84" s="1">
        <v>4532</v>
      </c>
      <c r="F84" t="s">
        <v>206</v>
      </c>
      <c r="G84" t="s">
        <v>207</v>
      </c>
      <c r="H84" t="s">
        <v>208</v>
      </c>
      <c r="I84" s="1">
        <v>17027</v>
      </c>
      <c r="J84">
        <v>1</v>
      </c>
    </row>
    <row r="85" spans="1:10" x14ac:dyDescent="0.25">
      <c r="A85">
        <v>404</v>
      </c>
      <c r="B85">
        <v>404</v>
      </c>
      <c r="C85" t="s">
        <v>2010</v>
      </c>
      <c r="D85" t="s">
        <v>2916</v>
      </c>
      <c r="E85" s="1">
        <v>3561</v>
      </c>
      <c r="F85" t="s">
        <v>2011</v>
      </c>
      <c r="G85" t="s">
        <v>2012</v>
      </c>
      <c r="H85" t="s">
        <v>2013</v>
      </c>
      <c r="I85" s="1">
        <v>3894</v>
      </c>
      <c r="J85">
        <v>7</v>
      </c>
    </row>
    <row r="86" spans="1:10" x14ac:dyDescent="0.25">
      <c r="A86">
        <v>80</v>
      </c>
      <c r="B86">
        <v>80</v>
      </c>
      <c r="C86" t="s">
        <v>427</v>
      </c>
      <c r="D86" t="s">
        <v>2917</v>
      </c>
      <c r="E86" s="1">
        <v>2074</v>
      </c>
      <c r="F86" t="s">
        <v>428</v>
      </c>
      <c r="G86" t="s">
        <v>429</v>
      </c>
      <c r="H86" t="s">
        <v>430</v>
      </c>
      <c r="I86" s="1">
        <v>47740</v>
      </c>
      <c r="J86">
        <v>2</v>
      </c>
    </row>
    <row r="87" spans="1:10" x14ac:dyDescent="0.25">
      <c r="A87">
        <v>88</v>
      </c>
      <c r="B87">
        <v>88</v>
      </c>
      <c r="C87" t="s">
        <v>467</v>
      </c>
      <c r="D87" t="s">
        <v>2916</v>
      </c>
      <c r="E87" s="1">
        <v>2505</v>
      </c>
      <c r="F87" t="s">
        <v>468</v>
      </c>
      <c r="G87" t="s">
        <v>469</v>
      </c>
      <c r="H87" t="s">
        <v>470</v>
      </c>
      <c r="I87" s="1">
        <v>62376</v>
      </c>
      <c r="J87">
        <v>2</v>
      </c>
    </row>
    <row r="88" spans="1:10" x14ac:dyDescent="0.25">
      <c r="A88">
        <v>492</v>
      </c>
      <c r="B88">
        <v>492</v>
      </c>
      <c r="C88" t="s">
        <v>2429</v>
      </c>
      <c r="D88" t="s">
        <v>2917</v>
      </c>
      <c r="E88" s="1">
        <v>2015</v>
      </c>
      <c r="F88" t="s">
        <v>2430</v>
      </c>
      <c r="G88" t="s">
        <v>2431</v>
      </c>
      <c r="H88" t="s">
        <v>2432</v>
      </c>
      <c r="I88">
        <v>113</v>
      </c>
      <c r="J88">
        <v>8</v>
      </c>
    </row>
    <row r="89" spans="1:10" x14ac:dyDescent="0.25">
      <c r="A89">
        <v>49</v>
      </c>
      <c r="B89">
        <v>49</v>
      </c>
      <c r="C89" t="s">
        <v>272</v>
      </c>
      <c r="D89" t="s">
        <v>2916</v>
      </c>
      <c r="E89" s="1">
        <v>6445</v>
      </c>
      <c r="F89" t="s">
        <v>273</v>
      </c>
      <c r="G89" t="s">
        <v>274</v>
      </c>
      <c r="H89" t="s">
        <v>275</v>
      </c>
      <c r="I89" s="1">
        <v>21761</v>
      </c>
      <c r="J89">
        <v>8</v>
      </c>
    </row>
    <row r="90" spans="1:10" x14ac:dyDescent="0.25">
      <c r="A90">
        <v>82</v>
      </c>
      <c r="B90">
        <v>82</v>
      </c>
      <c r="C90" t="s">
        <v>437</v>
      </c>
      <c r="D90" t="s">
        <v>2916</v>
      </c>
      <c r="E90" s="1">
        <v>6302</v>
      </c>
      <c r="F90" t="s">
        <v>438</v>
      </c>
      <c r="G90" t="s">
        <v>439</v>
      </c>
      <c r="H90" t="s">
        <v>440</v>
      </c>
      <c r="I90" s="1">
        <v>51619</v>
      </c>
      <c r="J90">
        <v>2</v>
      </c>
    </row>
    <row r="91" spans="1:10" x14ac:dyDescent="0.25">
      <c r="A91">
        <v>405</v>
      </c>
      <c r="B91">
        <v>405</v>
      </c>
      <c r="C91" t="s">
        <v>2015</v>
      </c>
      <c r="D91" t="s">
        <v>2917</v>
      </c>
      <c r="E91" s="1">
        <v>1463</v>
      </c>
      <c r="F91" t="s">
        <v>2016</v>
      </c>
      <c r="G91" t="s">
        <v>2017</v>
      </c>
      <c r="H91" t="s">
        <v>2018</v>
      </c>
      <c r="I91">
        <v>89</v>
      </c>
      <c r="J91">
        <v>3</v>
      </c>
    </row>
    <row r="92" spans="1:10" x14ac:dyDescent="0.25">
      <c r="A92">
        <v>261</v>
      </c>
      <c r="B92">
        <v>261</v>
      </c>
      <c r="C92" t="s">
        <v>1313</v>
      </c>
      <c r="D92" t="s">
        <v>2917</v>
      </c>
      <c r="E92" s="1">
        <v>32165</v>
      </c>
      <c r="F92" t="s">
        <v>1314</v>
      </c>
      <c r="G92" t="s">
        <v>1315</v>
      </c>
      <c r="H92" t="s">
        <v>1316</v>
      </c>
      <c r="I92">
        <v>121</v>
      </c>
      <c r="J92">
        <v>3</v>
      </c>
    </row>
    <row r="93" spans="1:10" x14ac:dyDescent="0.25">
      <c r="A93">
        <v>468</v>
      </c>
      <c r="B93">
        <v>468</v>
      </c>
      <c r="C93" t="s">
        <v>2318</v>
      </c>
      <c r="D93" t="s">
        <v>2916</v>
      </c>
      <c r="E93" s="1">
        <v>15992</v>
      </c>
      <c r="F93" t="s">
        <v>2319</v>
      </c>
      <c r="G93" t="s">
        <v>2320</v>
      </c>
      <c r="H93" t="s">
        <v>2321</v>
      </c>
      <c r="I93" s="1">
        <v>1669</v>
      </c>
      <c r="J93">
        <v>1</v>
      </c>
    </row>
    <row r="94" spans="1:10" x14ac:dyDescent="0.25">
      <c r="A94">
        <v>563</v>
      </c>
      <c r="B94">
        <v>563</v>
      </c>
      <c r="C94" t="s">
        <v>2768</v>
      </c>
      <c r="D94" t="s">
        <v>2916</v>
      </c>
      <c r="E94" s="1">
        <v>9096</v>
      </c>
      <c r="F94" t="s">
        <v>2769</v>
      </c>
      <c r="G94" t="s">
        <v>2770</v>
      </c>
      <c r="H94" t="s">
        <v>2771</v>
      </c>
      <c r="I94" s="1">
        <v>3846</v>
      </c>
      <c r="J94">
        <v>4</v>
      </c>
    </row>
    <row r="95" spans="1:10" x14ac:dyDescent="0.25">
      <c r="A95">
        <v>241</v>
      </c>
      <c r="B95">
        <v>241</v>
      </c>
      <c r="C95" t="s">
        <v>1218</v>
      </c>
      <c r="D95" t="s">
        <v>2916</v>
      </c>
      <c r="E95" s="1">
        <v>14768</v>
      </c>
      <c r="F95" t="s">
        <v>1219</v>
      </c>
      <c r="G95" t="s">
        <v>1220</v>
      </c>
      <c r="H95" t="s">
        <v>1221</v>
      </c>
      <c r="I95" s="1">
        <v>7863</v>
      </c>
      <c r="J95">
        <v>1</v>
      </c>
    </row>
    <row r="96" spans="1:10" x14ac:dyDescent="0.25">
      <c r="A96">
        <v>499</v>
      </c>
      <c r="B96">
        <v>499</v>
      </c>
      <c r="C96" t="s">
        <v>2460</v>
      </c>
      <c r="D96" t="s">
        <v>2916</v>
      </c>
      <c r="E96" s="1">
        <v>10551</v>
      </c>
      <c r="F96" t="s">
        <v>2461</v>
      </c>
      <c r="G96" t="s">
        <v>2462</v>
      </c>
      <c r="H96" t="s">
        <v>2463</v>
      </c>
      <c r="I96" s="1">
        <v>4554</v>
      </c>
      <c r="J96">
        <v>3</v>
      </c>
    </row>
    <row r="97" spans="1:10" x14ac:dyDescent="0.25">
      <c r="A97">
        <v>100</v>
      </c>
      <c r="B97">
        <v>100</v>
      </c>
      <c r="C97" t="s">
        <v>525</v>
      </c>
      <c r="D97" t="s">
        <v>2916</v>
      </c>
      <c r="E97" s="1">
        <v>5737</v>
      </c>
      <c r="F97" t="s">
        <v>526</v>
      </c>
      <c r="G97" t="s">
        <v>527</v>
      </c>
      <c r="H97" t="s">
        <v>528</v>
      </c>
      <c r="I97" s="1">
        <v>125919</v>
      </c>
      <c r="J97">
        <v>2</v>
      </c>
    </row>
    <row r="98" spans="1:10" x14ac:dyDescent="0.25">
      <c r="A98">
        <v>226</v>
      </c>
      <c r="B98">
        <v>226</v>
      </c>
      <c r="C98" t="s">
        <v>1144</v>
      </c>
      <c r="D98" t="s">
        <v>2917</v>
      </c>
      <c r="E98" s="1">
        <v>8202</v>
      </c>
      <c r="F98" t="s">
        <v>1145</v>
      </c>
      <c r="G98" t="s">
        <v>1146</v>
      </c>
      <c r="H98" t="s">
        <v>1147</v>
      </c>
      <c r="I98">
        <v>614</v>
      </c>
      <c r="J98">
        <v>4</v>
      </c>
    </row>
    <row r="99" spans="1:10" x14ac:dyDescent="0.25">
      <c r="A99">
        <v>108</v>
      </c>
      <c r="B99">
        <v>108</v>
      </c>
      <c r="C99" t="s">
        <v>564</v>
      </c>
      <c r="D99" t="s">
        <v>2917</v>
      </c>
      <c r="E99">
        <v>506</v>
      </c>
      <c r="F99" t="s">
        <v>565</v>
      </c>
      <c r="G99" t="s">
        <v>566</v>
      </c>
      <c r="H99" t="s">
        <v>562</v>
      </c>
      <c r="I99" s="1">
        <v>241802</v>
      </c>
      <c r="J99">
        <v>4</v>
      </c>
    </row>
    <row r="100" spans="1:10" x14ac:dyDescent="0.25">
      <c r="A100">
        <v>469</v>
      </c>
      <c r="B100">
        <v>469</v>
      </c>
      <c r="C100" t="s">
        <v>2323</v>
      </c>
      <c r="D100" t="s">
        <v>2917</v>
      </c>
      <c r="E100" s="1">
        <v>1988</v>
      </c>
      <c r="F100" t="s">
        <v>2324</v>
      </c>
      <c r="G100" t="s">
        <v>2325</v>
      </c>
      <c r="H100" t="s">
        <v>2326</v>
      </c>
      <c r="I100">
        <v>151</v>
      </c>
      <c r="J100">
        <v>2</v>
      </c>
    </row>
    <row r="101" spans="1:10" x14ac:dyDescent="0.25">
      <c r="A101">
        <v>178</v>
      </c>
      <c r="B101">
        <v>178</v>
      </c>
      <c r="C101" t="s">
        <v>908</v>
      </c>
      <c r="D101" t="s">
        <v>2916</v>
      </c>
      <c r="E101" s="1">
        <v>2425</v>
      </c>
      <c r="F101" t="s">
        <v>909</v>
      </c>
      <c r="G101" t="s">
        <v>910</v>
      </c>
      <c r="H101" t="s">
        <v>911</v>
      </c>
      <c r="I101" s="1">
        <v>2326</v>
      </c>
      <c r="J101">
        <v>1</v>
      </c>
    </row>
    <row r="102" spans="1:10" x14ac:dyDescent="0.25">
      <c r="A102">
        <v>233</v>
      </c>
      <c r="B102">
        <v>233</v>
      </c>
      <c r="C102" t="s">
        <v>1178</v>
      </c>
      <c r="D102" t="s">
        <v>2917</v>
      </c>
      <c r="E102" s="1">
        <v>5357</v>
      </c>
      <c r="F102" t="s">
        <v>1179</v>
      </c>
      <c r="G102" t="s">
        <v>1180</v>
      </c>
      <c r="H102" t="s">
        <v>1181</v>
      </c>
      <c r="I102">
        <v>101</v>
      </c>
      <c r="J102">
        <v>2</v>
      </c>
    </row>
    <row r="103" spans="1:10" x14ac:dyDescent="0.25">
      <c r="A103">
        <v>209</v>
      </c>
      <c r="B103">
        <v>209</v>
      </c>
      <c r="C103" t="s">
        <v>1061</v>
      </c>
      <c r="D103" t="s">
        <v>2916</v>
      </c>
      <c r="E103" s="1">
        <v>6283</v>
      </c>
      <c r="F103" t="s">
        <v>1062</v>
      </c>
      <c r="G103" t="s">
        <v>1063</v>
      </c>
      <c r="H103" t="s">
        <v>1064</v>
      </c>
      <c r="I103" s="1">
        <v>3851</v>
      </c>
      <c r="J103">
        <v>5</v>
      </c>
    </row>
    <row r="104" spans="1:10" x14ac:dyDescent="0.25">
      <c r="A104">
        <v>366</v>
      </c>
      <c r="B104">
        <v>366</v>
      </c>
      <c r="C104" t="s">
        <v>1824</v>
      </c>
      <c r="D104" t="s">
        <v>2916</v>
      </c>
      <c r="E104">
        <v>742</v>
      </c>
      <c r="F104" t="s">
        <v>1825</v>
      </c>
      <c r="G104" t="s">
        <v>1826</v>
      </c>
      <c r="H104" t="s">
        <v>1827</v>
      </c>
      <c r="I104" s="1">
        <v>6426</v>
      </c>
      <c r="J104">
        <v>2</v>
      </c>
    </row>
    <row r="105" spans="1:10" x14ac:dyDescent="0.25">
      <c r="A105">
        <v>3</v>
      </c>
      <c r="B105">
        <v>3</v>
      </c>
      <c r="C105" t="s">
        <v>31</v>
      </c>
      <c r="D105" t="s">
        <v>2916</v>
      </c>
      <c r="E105" s="1">
        <v>6245</v>
      </c>
      <c r="F105" t="s">
        <v>32</v>
      </c>
      <c r="G105" t="s">
        <v>33</v>
      </c>
      <c r="H105" t="s">
        <v>34</v>
      </c>
      <c r="I105" s="1">
        <v>10385</v>
      </c>
      <c r="J105">
        <v>4</v>
      </c>
    </row>
    <row r="106" spans="1:10" x14ac:dyDescent="0.25">
      <c r="A106">
        <v>118</v>
      </c>
      <c r="B106">
        <v>118</v>
      </c>
      <c r="C106" t="s">
        <v>613</v>
      </c>
      <c r="D106" t="s">
        <v>2916</v>
      </c>
      <c r="E106" s="1">
        <v>3937</v>
      </c>
      <c r="F106" t="s">
        <v>614</v>
      </c>
      <c r="G106" t="s">
        <v>615</v>
      </c>
      <c r="H106" t="s">
        <v>616</v>
      </c>
      <c r="I106">
        <v>313</v>
      </c>
      <c r="J106">
        <v>2</v>
      </c>
    </row>
    <row r="107" spans="1:10" x14ac:dyDescent="0.25">
      <c r="A107">
        <v>573</v>
      </c>
      <c r="B107">
        <v>573</v>
      </c>
      <c r="C107" t="s">
        <v>2815</v>
      </c>
      <c r="D107" t="s">
        <v>2916</v>
      </c>
      <c r="E107" s="1">
        <v>4183</v>
      </c>
      <c r="F107" t="s">
        <v>2816</v>
      </c>
      <c r="G107" t="s">
        <v>2817</v>
      </c>
      <c r="H107" t="s">
        <v>2818</v>
      </c>
      <c r="I107">
        <v>995</v>
      </c>
      <c r="J107">
        <v>5</v>
      </c>
    </row>
    <row r="108" spans="1:10" x14ac:dyDescent="0.25">
      <c r="A108">
        <v>276</v>
      </c>
      <c r="B108">
        <v>276</v>
      </c>
      <c r="C108" t="s">
        <v>1387</v>
      </c>
      <c r="D108" t="s">
        <v>2916</v>
      </c>
      <c r="E108" s="1">
        <v>10574</v>
      </c>
      <c r="F108" t="s">
        <v>1388</v>
      </c>
      <c r="G108" t="s">
        <v>1389</v>
      </c>
      <c r="J108">
        <v>5</v>
      </c>
    </row>
    <row r="109" spans="1:10" x14ac:dyDescent="0.25">
      <c r="A109">
        <v>102</v>
      </c>
      <c r="B109">
        <v>102</v>
      </c>
      <c r="C109" t="s">
        <v>534</v>
      </c>
      <c r="D109" t="s">
        <v>2916</v>
      </c>
      <c r="E109" s="1">
        <v>20832</v>
      </c>
      <c r="F109" t="s">
        <v>535</v>
      </c>
      <c r="G109" t="s">
        <v>536</v>
      </c>
      <c r="H109" t="s">
        <v>537</v>
      </c>
      <c r="I109" s="1">
        <v>139621</v>
      </c>
      <c r="J109">
        <v>3</v>
      </c>
    </row>
    <row r="110" spans="1:10" x14ac:dyDescent="0.25">
      <c r="A110">
        <v>24</v>
      </c>
      <c r="B110">
        <v>24</v>
      </c>
      <c r="C110" t="s">
        <v>144</v>
      </c>
      <c r="D110" t="s">
        <v>2916</v>
      </c>
      <c r="E110" s="1">
        <v>130090</v>
      </c>
      <c r="F110" t="s">
        <v>145</v>
      </c>
      <c r="G110" t="s">
        <v>146</v>
      </c>
      <c r="H110" t="s">
        <v>147</v>
      </c>
      <c r="I110" s="1">
        <v>13372</v>
      </c>
      <c r="J110">
        <v>7</v>
      </c>
    </row>
    <row r="111" spans="1:10" x14ac:dyDescent="0.25">
      <c r="A111">
        <v>1</v>
      </c>
      <c r="B111">
        <v>1</v>
      </c>
      <c r="C111" t="s">
        <v>20</v>
      </c>
      <c r="D111" t="s">
        <v>2916</v>
      </c>
      <c r="E111" s="1">
        <v>648155</v>
      </c>
      <c r="F111" t="s">
        <v>21</v>
      </c>
      <c r="G111" t="s">
        <v>22</v>
      </c>
      <c r="H111" t="s">
        <v>23</v>
      </c>
      <c r="I111" s="1">
        <v>10261</v>
      </c>
      <c r="J111">
        <v>9</v>
      </c>
    </row>
    <row r="112" spans="1:10" x14ac:dyDescent="0.25">
      <c r="A112">
        <v>549</v>
      </c>
      <c r="B112">
        <v>549</v>
      </c>
      <c r="C112" t="s">
        <v>2701</v>
      </c>
      <c r="D112" t="s">
        <v>2917</v>
      </c>
      <c r="E112" s="1">
        <v>4409</v>
      </c>
      <c r="F112" t="s">
        <v>2702</v>
      </c>
      <c r="G112" t="s">
        <v>2703</v>
      </c>
      <c r="H112" t="s">
        <v>2704</v>
      </c>
      <c r="I112" s="1">
        <v>2084</v>
      </c>
      <c r="J112">
        <v>6</v>
      </c>
    </row>
    <row r="113" spans="1:10" x14ac:dyDescent="0.25">
      <c r="A113">
        <v>160</v>
      </c>
      <c r="B113">
        <v>160</v>
      </c>
      <c r="C113" t="s">
        <v>819</v>
      </c>
      <c r="D113" t="s">
        <v>2916</v>
      </c>
      <c r="E113" s="1">
        <v>15403</v>
      </c>
      <c r="F113" t="s">
        <v>820</v>
      </c>
      <c r="G113" t="s">
        <v>821</v>
      </c>
      <c r="H113" t="s">
        <v>822</v>
      </c>
      <c r="I113" s="1">
        <v>6052</v>
      </c>
      <c r="J113">
        <v>3</v>
      </c>
    </row>
    <row r="114" spans="1:10" x14ac:dyDescent="0.25">
      <c r="A114">
        <v>78</v>
      </c>
      <c r="B114">
        <v>78</v>
      </c>
      <c r="C114" t="s">
        <v>417</v>
      </c>
      <c r="D114" t="s">
        <v>2916</v>
      </c>
      <c r="E114" s="1">
        <v>1536</v>
      </c>
      <c r="F114" t="s">
        <v>418</v>
      </c>
      <c r="G114" t="s">
        <v>419</v>
      </c>
      <c r="H114" t="s">
        <v>420</v>
      </c>
      <c r="I114" s="1">
        <v>42960</v>
      </c>
      <c r="J114">
        <v>3</v>
      </c>
    </row>
    <row r="115" spans="1:10" x14ac:dyDescent="0.25">
      <c r="A115">
        <v>25</v>
      </c>
      <c r="B115">
        <v>25</v>
      </c>
      <c r="C115" t="s">
        <v>149</v>
      </c>
      <c r="D115" t="s">
        <v>2916</v>
      </c>
      <c r="E115" s="1">
        <v>2130</v>
      </c>
      <c r="F115" t="s">
        <v>150</v>
      </c>
      <c r="G115" t="s">
        <v>151</v>
      </c>
      <c r="H115" t="s">
        <v>152</v>
      </c>
      <c r="I115" s="1">
        <v>13813</v>
      </c>
      <c r="J115">
        <v>2</v>
      </c>
    </row>
    <row r="116" spans="1:10" x14ac:dyDescent="0.25">
      <c r="A116">
        <v>188</v>
      </c>
      <c r="B116">
        <v>188</v>
      </c>
      <c r="C116" t="s">
        <v>958</v>
      </c>
      <c r="D116" t="s">
        <v>2916</v>
      </c>
      <c r="E116" s="1">
        <v>11745</v>
      </c>
      <c r="F116" t="s">
        <v>959</v>
      </c>
      <c r="G116" t="s">
        <v>960</v>
      </c>
      <c r="H116" t="s">
        <v>961</v>
      </c>
      <c r="I116" s="1">
        <v>7238</v>
      </c>
      <c r="J116">
        <v>5</v>
      </c>
    </row>
    <row r="117" spans="1:10" x14ac:dyDescent="0.25">
      <c r="A117">
        <v>556</v>
      </c>
      <c r="B117">
        <v>556</v>
      </c>
      <c r="C117" t="s">
        <v>2736</v>
      </c>
      <c r="D117" t="s">
        <v>2917</v>
      </c>
      <c r="E117" s="1">
        <v>6844</v>
      </c>
      <c r="F117" t="s">
        <v>2737</v>
      </c>
      <c r="G117" t="s">
        <v>2738</v>
      </c>
      <c r="H117" t="s">
        <v>2739</v>
      </c>
      <c r="I117" s="1">
        <v>3719</v>
      </c>
      <c r="J117">
        <v>2</v>
      </c>
    </row>
    <row r="118" spans="1:10" x14ac:dyDescent="0.25">
      <c r="A118">
        <v>576</v>
      </c>
      <c r="B118">
        <v>576</v>
      </c>
      <c r="C118" t="s">
        <v>2829</v>
      </c>
      <c r="D118" t="s">
        <v>2916</v>
      </c>
      <c r="E118" s="1">
        <v>119762</v>
      </c>
      <c r="F118" t="s">
        <v>2830</v>
      </c>
      <c r="G118" t="s">
        <v>2831</v>
      </c>
      <c r="H118" t="s">
        <v>2832</v>
      </c>
      <c r="I118" s="1">
        <v>7342</v>
      </c>
      <c r="J118">
        <v>3</v>
      </c>
    </row>
    <row r="119" spans="1:10" x14ac:dyDescent="0.25">
      <c r="A119">
        <v>135</v>
      </c>
      <c r="B119">
        <v>135</v>
      </c>
      <c r="C119" t="s">
        <v>698</v>
      </c>
      <c r="D119" t="s">
        <v>2916</v>
      </c>
      <c r="E119" s="1">
        <v>29925</v>
      </c>
      <c r="F119" t="s">
        <v>699</v>
      </c>
      <c r="G119" t="s">
        <v>700</v>
      </c>
      <c r="H119" t="s">
        <v>701</v>
      </c>
      <c r="I119" s="1">
        <v>1415</v>
      </c>
      <c r="J119">
        <v>9</v>
      </c>
    </row>
    <row r="120" spans="1:10" x14ac:dyDescent="0.25">
      <c r="A120">
        <v>237</v>
      </c>
      <c r="B120">
        <v>237</v>
      </c>
      <c r="C120" t="s">
        <v>1198</v>
      </c>
      <c r="D120" t="s">
        <v>2916</v>
      </c>
      <c r="E120" s="1">
        <v>2625</v>
      </c>
      <c r="F120" t="s">
        <v>1199</v>
      </c>
      <c r="G120" t="s">
        <v>1200</v>
      </c>
      <c r="H120" t="s">
        <v>1201</v>
      </c>
      <c r="I120" s="1">
        <v>3657</v>
      </c>
      <c r="J120">
        <v>1</v>
      </c>
    </row>
    <row r="121" spans="1:10" x14ac:dyDescent="0.25">
      <c r="A121">
        <v>501</v>
      </c>
      <c r="B121">
        <v>501</v>
      </c>
      <c r="C121" t="s">
        <v>2470</v>
      </c>
      <c r="D121" t="s">
        <v>2916</v>
      </c>
      <c r="E121" s="1">
        <v>35162</v>
      </c>
      <c r="F121" t="s">
        <v>2471</v>
      </c>
      <c r="G121" t="s">
        <v>2472</v>
      </c>
      <c r="H121" t="s">
        <v>2473</v>
      </c>
      <c r="I121" s="1">
        <v>3103</v>
      </c>
      <c r="J121">
        <v>4</v>
      </c>
    </row>
    <row r="122" spans="1:10" x14ac:dyDescent="0.25">
      <c r="A122">
        <v>471</v>
      </c>
      <c r="B122">
        <v>471</v>
      </c>
      <c r="C122" t="s">
        <v>2333</v>
      </c>
      <c r="D122" t="s">
        <v>2916</v>
      </c>
      <c r="E122" s="1">
        <v>11831</v>
      </c>
      <c r="F122" t="s">
        <v>2334</v>
      </c>
      <c r="G122" t="s">
        <v>2335</v>
      </c>
      <c r="H122" t="s">
        <v>2336</v>
      </c>
      <c r="I122">
        <v>232</v>
      </c>
      <c r="J122">
        <v>2</v>
      </c>
    </row>
    <row r="123" spans="1:10" x14ac:dyDescent="0.25">
      <c r="A123">
        <v>151</v>
      </c>
      <c r="B123">
        <v>151</v>
      </c>
      <c r="C123" t="s">
        <v>775</v>
      </c>
      <c r="D123" t="s">
        <v>2916</v>
      </c>
      <c r="E123" s="1">
        <v>4100</v>
      </c>
      <c r="F123" t="s">
        <v>776</v>
      </c>
      <c r="G123" t="s">
        <v>777</v>
      </c>
      <c r="H123" t="s">
        <v>778</v>
      </c>
      <c r="I123" s="1">
        <v>1597</v>
      </c>
      <c r="J123">
        <v>1</v>
      </c>
    </row>
    <row r="124" spans="1:10" x14ac:dyDescent="0.25">
      <c r="A124">
        <v>54</v>
      </c>
      <c r="B124">
        <v>54</v>
      </c>
      <c r="C124" t="s">
        <v>297</v>
      </c>
      <c r="D124" t="s">
        <v>2916</v>
      </c>
      <c r="E124" s="1">
        <v>6246</v>
      </c>
      <c r="F124" t="s">
        <v>298</v>
      </c>
      <c r="G124" t="s">
        <v>299</v>
      </c>
      <c r="H124" t="s">
        <v>300</v>
      </c>
      <c r="I124" s="1">
        <v>23200</v>
      </c>
      <c r="J124">
        <v>5</v>
      </c>
    </row>
    <row r="125" spans="1:10" x14ac:dyDescent="0.25">
      <c r="A125">
        <v>301</v>
      </c>
      <c r="B125">
        <v>301</v>
      </c>
      <c r="C125" t="s">
        <v>1505</v>
      </c>
      <c r="D125" t="s">
        <v>2916</v>
      </c>
      <c r="E125" s="1">
        <v>4925</v>
      </c>
      <c r="F125" t="s">
        <v>1506</v>
      </c>
      <c r="G125" t="s">
        <v>1507</v>
      </c>
      <c r="H125" t="s">
        <v>1508</v>
      </c>
      <c r="I125" s="1">
        <v>7221</v>
      </c>
      <c r="J125">
        <v>1</v>
      </c>
    </row>
    <row r="126" spans="1:10" x14ac:dyDescent="0.25">
      <c r="A126">
        <v>343</v>
      </c>
      <c r="B126">
        <v>343</v>
      </c>
      <c r="C126" t="s">
        <v>1711</v>
      </c>
      <c r="D126" t="s">
        <v>2916</v>
      </c>
      <c r="E126" s="1">
        <v>23439</v>
      </c>
      <c r="F126" t="s">
        <v>1712</v>
      </c>
      <c r="G126" t="s">
        <v>1713</v>
      </c>
      <c r="H126" t="s">
        <v>1714</v>
      </c>
      <c r="I126" s="1">
        <v>8637</v>
      </c>
      <c r="J126">
        <v>5</v>
      </c>
    </row>
    <row r="127" spans="1:10" x14ac:dyDescent="0.25">
      <c r="A127">
        <v>443</v>
      </c>
      <c r="B127">
        <v>443</v>
      </c>
      <c r="C127" t="s">
        <v>2198</v>
      </c>
      <c r="D127" t="s">
        <v>2916</v>
      </c>
      <c r="E127" s="1">
        <v>8035</v>
      </c>
      <c r="F127" t="s">
        <v>2199</v>
      </c>
      <c r="G127" t="s">
        <v>2200</v>
      </c>
      <c r="H127" t="s">
        <v>1498</v>
      </c>
      <c r="I127">
        <v>145</v>
      </c>
      <c r="J127">
        <v>1</v>
      </c>
    </row>
    <row r="128" spans="1:10" x14ac:dyDescent="0.25">
      <c r="A128">
        <v>299</v>
      </c>
      <c r="B128">
        <v>299</v>
      </c>
      <c r="C128" t="s">
        <v>1495</v>
      </c>
      <c r="D128" t="s">
        <v>2917</v>
      </c>
      <c r="E128">
        <v>823</v>
      </c>
      <c r="F128" t="s">
        <v>1496</v>
      </c>
      <c r="G128" t="s">
        <v>1497</v>
      </c>
      <c r="H128" t="s">
        <v>1498</v>
      </c>
      <c r="I128">
        <v>145</v>
      </c>
      <c r="J128">
        <v>3</v>
      </c>
    </row>
    <row r="129" spans="1:10" x14ac:dyDescent="0.25">
      <c r="A129">
        <v>374</v>
      </c>
      <c r="B129">
        <v>374</v>
      </c>
      <c r="C129" t="s">
        <v>1863</v>
      </c>
      <c r="D129" t="s">
        <v>2916</v>
      </c>
      <c r="E129" s="1">
        <v>1724</v>
      </c>
      <c r="F129" t="s">
        <v>1864</v>
      </c>
      <c r="G129" t="s">
        <v>1865</v>
      </c>
      <c r="H129" t="s">
        <v>1866</v>
      </c>
      <c r="I129">
        <v>125</v>
      </c>
      <c r="J129">
        <v>1</v>
      </c>
    </row>
    <row r="130" spans="1:10" x14ac:dyDescent="0.25">
      <c r="A130">
        <v>95</v>
      </c>
      <c r="B130">
        <v>95</v>
      </c>
      <c r="C130" t="s">
        <v>499</v>
      </c>
      <c r="D130" t="s">
        <v>2916</v>
      </c>
      <c r="E130" s="1">
        <v>2470</v>
      </c>
      <c r="F130" t="s">
        <v>500</v>
      </c>
      <c r="G130" t="s">
        <v>501</v>
      </c>
      <c r="H130" t="s">
        <v>502</v>
      </c>
      <c r="I130" s="1">
        <v>96152</v>
      </c>
      <c r="J130">
        <v>5</v>
      </c>
    </row>
    <row r="131" spans="1:10" x14ac:dyDescent="0.25">
      <c r="A131">
        <v>516</v>
      </c>
      <c r="B131">
        <v>516</v>
      </c>
      <c r="C131" t="s">
        <v>2541</v>
      </c>
      <c r="D131" t="s">
        <v>2916</v>
      </c>
      <c r="E131" s="1">
        <v>181294</v>
      </c>
      <c r="F131" t="s">
        <v>2542</v>
      </c>
      <c r="G131" t="s">
        <v>2543</v>
      </c>
      <c r="H131" t="s">
        <v>2544</v>
      </c>
      <c r="I131" s="1">
        <v>1027</v>
      </c>
      <c r="J131">
        <v>8</v>
      </c>
    </row>
    <row r="132" spans="1:10" x14ac:dyDescent="0.25">
      <c r="A132">
        <v>347</v>
      </c>
      <c r="B132">
        <v>347</v>
      </c>
      <c r="C132" t="s">
        <v>1730</v>
      </c>
      <c r="D132" t="s">
        <v>2917</v>
      </c>
      <c r="E132">
        <v>258</v>
      </c>
      <c r="F132" t="s">
        <v>1731</v>
      </c>
      <c r="G132" t="s">
        <v>1732</v>
      </c>
      <c r="H132" t="s">
        <v>1733</v>
      </c>
      <c r="I132">
        <v>198</v>
      </c>
      <c r="J132">
        <v>2</v>
      </c>
    </row>
    <row r="133" spans="1:10" x14ac:dyDescent="0.25">
      <c r="A133">
        <v>575</v>
      </c>
      <c r="B133">
        <v>575</v>
      </c>
      <c r="C133" t="s">
        <v>2825</v>
      </c>
      <c r="D133" t="s">
        <v>2916</v>
      </c>
      <c r="E133" s="1">
        <v>69672</v>
      </c>
      <c r="F133" t="s">
        <v>2826</v>
      </c>
      <c r="G133" t="s">
        <v>2827</v>
      </c>
      <c r="H133" t="s">
        <v>2828</v>
      </c>
      <c r="I133">
        <v>329</v>
      </c>
      <c r="J133">
        <v>8</v>
      </c>
    </row>
    <row r="134" spans="1:10" x14ac:dyDescent="0.25">
      <c r="A134">
        <v>184</v>
      </c>
      <c r="B134">
        <v>184</v>
      </c>
      <c r="C134" t="s">
        <v>938</v>
      </c>
      <c r="D134" t="s">
        <v>2916</v>
      </c>
      <c r="E134" s="1">
        <v>28876</v>
      </c>
      <c r="F134" t="s">
        <v>939</v>
      </c>
      <c r="G134" t="s">
        <v>940</v>
      </c>
      <c r="H134" t="s">
        <v>941</v>
      </c>
      <c r="I134" s="1">
        <v>5443</v>
      </c>
      <c r="J134">
        <v>4</v>
      </c>
    </row>
    <row r="135" spans="1:10" x14ac:dyDescent="0.25">
      <c r="A135">
        <v>41</v>
      </c>
      <c r="B135">
        <v>41</v>
      </c>
      <c r="C135" t="s">
        <v>231</v>
      </c>
      <c r="D135" t="s">
        <v>2916</v>
      </c>
      <c r="E135">
        <v>530</v>
      </c>
      <c r="F135" t="s">
        <v>232</v>
      </c>
      <c r="G135" t="s">
        <v>233</v>
      </c>
      <c r="H135" t="s">
        <v>234</v>
      </c>
      <c r="I135" s="1">
        <v>18390</v>
      </c>
      <c r="J135">
        <v>5</v>
      </c>
    </row>
    <row r="136" spans="1:10" x14ac:dyDescent="0.25">
      <c r="A136">
        <v>243</v>
      </c>
      <c r="B136">
        <v>243</v>
      </c>
      <c r="C136" t="s">
        <v>1227</v>
      </c>
      <c r="D136" t="s">
        <v>2916</v>
      </c>
      <c r="E136" s="1">
        <v>3589</v>
      </c>
      <c r="F136" t="s">
        <v>1228</v>
      </c>
      <c r="G136" t="s">
        <v>1229</v>
      </c>
      <c r="H136" t="s">
        <v>1230</v>
      </c>
      <c r="I136">
        <v>243</v>
      </c>
      <c r="J136">
        <v>4</v>
      </c>
    </row>
    <row r="137" spans="1:10" x14ac:dyDescent="0.25">
      <c r="A137">
        <v>427</v>
      </c>
      <c r="B137">
        <v>427</v>
      </c>
      <c r="C137" t="s">
        <v>2120</v>
      </c>
      <c r="D137" t="s">
        <v>2917</v>
      </c>
      <c r="E137" s="1">
        <v>270088</v>
      </c>
      <c r="F137" t="s">
        <v>2121</v>
      </c>
      <c r="G137" t="s">
        <v>2122</v>
      </c>
      <c r="H137" t="s">
        <v>2123</v>
      </c>
      <c r="I137">
        <v>371</v>
      </c>
      <c r="J137">
        <v>9</v>
      </c>
    </row>
    <row r="138" spans="1:10" x14ac:dyDescent="0.25">
      <c r="A138">
        <v>92</v>
      </c>
      <c r="B138">
        <v>92</v>
      </c>
      <c r="C138" t="s">
        <v>485</v>
      </c>
      <c r="D138" t="s">
        <v>2917</v>
      </c>
      <c r="E138" s="1">
        <v>137005</v>
      </c>
      <c r="F138" t="s">
        <v>486</v>
      </c>
      <c r="G138" t="s">
        <v>487</v>
      </c>
      <c r="H138" t="s">
        <v>488</v>
      </c>
      <c r="I138" s="1">
        <v>76262</v>
      </c>
      <c r="J138">
        <v>4</v>
      </c>
    </row>
    <row r="139" spans="1:10" x14ac:dyDescent="0.25">
      <c r="A139">
        <v>325</v>
      </c>
      <c r="B139">
        <v>325</v>
      </c>
      <c r="C139" t="s">
        <v>1622</v>
      </c>
      <c r="D139" t="s">
        <v>2917</v>
      </c>
      <c r="E139" s="1">
        <v>8407</v>
      </c>
      <c r="F139" t="s">
        <v>1623</v>
      </c>
      <c r="G139" t="s">
        <v>1624</v>
      </c>
      <c r="H139" t="s">
        <v>1625</v>
      </c>
      <c r="I139">
        <v>453</v>
      </c>
      <c r="J139">
        <v>4</v>
      </c>
    </row>
    <row r="140" spans="1:10" x14ac:dyDescent="0.25">
      <c r="A140">
        <v>514</v>
      </c>
      <c r="B140">
        <v>514</v>
      </c>
      <c r="C140" t="s">
        <v>2531</v>
      </c>
      <c r="D140" t="s">
        <v>2916</v>
      </c>
      <c r="E140" s="1">
        <v>15455</v>
      </c>
      <c r="F140" t="s">
        <v>2532</v>
      </c>
      <c r="G140" t="s">
        <v>2533</v>
      </c>
      <c r="H140" t="s">
        <v>2534</v>
      </c>
      <c r="I140">
        <v>250</v>
      </c>
      <c r="J140">
        <v>4</v>
      </c>
    </row>
    <row r="141" spans="1:10" x14ac:dyDescent="0.25">
      <c r="A141">
        <v>328</v>
      </c>
      <c r="B141">
        <v>328</v>
      </c>
      <c r="C141" t="s">
        <v>1637</v>
      </c>
      <c r="D141" t="s">
        <v>2917</v>
      </c>
      <c r="E141">
        <v>475</v>
      </c>
      <c r="F141" t="s">
        <v>1638</v>
      </c>
      <c r="G141" t="s">
        <v>1639</v>
      </c>
      <c r="H141" t="s">
        <v>1640</v>
      </c>
      <c r="I141">
        <v>71</v>
      </c>
      <c r="J141">
        <v>7</v>
      </c>
    </row>
    <row r="142" spans="1:10" x14ac:dyDescent="0.25">
      <c r="A142">
        <v>289</v>
      </c>
      <c r="B142">
        <v>289</v>
      </c>
      <c r="C142" t="s">
        <v>1448</v>
      </c>
      <c r="D142" t="s">
        <v>2916</v>
      </c>
      <c r="E142" s="1">
        <v>19359</v>
      </c>
      <c r="F142" t="s">
        <v>1449</v>
      </c>
      <c r="G142" t="s">
        <v>1450</v>
      </c>
      <c r="H142" t="s">
        <v>1451</v>
      </c>
      <c r="I142">
        <v>147</v>
      </c>
      <c r="J142">
        <v>1</v>
      </c>
    </row>
    <row r="143" spans="1:10" x14ac:dyDescent="0.25">
      <c r="A143">
        <v>51</v>
      </c>
      <c r="B143">
        <v>51</v>
      </c>
      <c r="C143" t="s">
        <v>283</v>
      </c>
      <c r="D143" t="s">
        <v>2916</v>
      </c>
      <c r="E143" s="1">
        <v>2763</v>
      </c>
      <c r="F143" t="s">
        <v>284</v>
      </c>
      <c r="G143" t="s">
        <v>285</v>
      </c>
      <c r="H143" t="s">
        <v>286</v>
      </c>
      <c r="I143" s="1">
        <v>22649</v>
      </c>
      <c r="J143">
        <v>2</v>
      </c>
    </row>
    <row r="144" spans="1:10" x14ac:dyDescent="0.25">
      <c r="A144">
        <v>221</v>
      </c>
      <c r="B144">
        <v>221</v>
      </c>
      <c r="C144" t="s">
        <v>1119</v>
      </c>
      <c r="D144" t="s">
        <v>2917</v>
      </c>
      <c r="E144">
        <v>887</v>
      </c>
      <c r="F144" t="s">
        <v>1120</v>
      </c>
      <c r="G144" t="s">
        <v>1121</v>
      </c>
      <c r="H144" t="s">
        <v>1122</v>
      </c>
      <c r="I144">
        <v>119</v>
      </c>
      <c r="J144">
        <v>3</v>
      </c>
    </row>
    <row r="145" spans="1:10" x14ac:dyDescent="0.25">
      <c r="A145">
        <v>191</v>
      </c>
      <c r="B145">
        <v>191</v>
      </c>
      <c r="C145" t="s">
        <v>973</v>
      </c>
      <c r="D145" t="s">
        <v>2916</v>
      </c>
      <c r="E145" s="1">
        <v>3781</v>
      </c>
      <c r="F145" t="s">
        <v>974</v>
      </c>
      <c r="G145" t="s">
        <v>975</v>
      </c>
      <c r="H145" t="s">
        <v>976</v>
      </c>
      <c r="I145">
        <v>888</v>
      </c>
      <c r="J145">
        <v>1</v>
      </c>
    </row>
    <row r="146" spans="1:10" x14ac:dyDescent="0.25">
      <c r="A146">
        <v>464</v>
      </c>
      <c r="B146">
        <v>464</v>
      </c>
      <c r="C146" t="s">
        <v>2299</v>
      </c>
      <c r="D146" t="s">
        <v>2916</v>
      </c>
      <c r="E146" s="1">
        <v>6248</v>
      </c>
      <c r="F146" t="s">
        <v>2300</v>
      </c>
      <c r="G146" t="s">
        <v>2301</v>
      </c>
      <c r="H146" t="s">
        <v>2302</v>
      </c>
      <c r="I146">
        <v>98</v>
      </c>
      <c r="J146">
        <v>2</v>
      </c>
    </row>
    <row r="147" spans="1:10" x14ac:dyDescent="0.25">
      <c r="A147">
        <v>132</v>
      </c>
      <c r="B147">
        <v>132</v>
      </c>
      <c r="C147" t="s">
        <v>683</v>
      </c>
      <c r="D147" t="s">
        <v>2916</v>
      </c>
      <c r="E147" s="1">
        <v>13299</v>
      </c>
      <c r="F147" t="s">
        <v>684</v>
      </c>
      <c r="G147" t="s">
        <v>685</v>
      </c>
      <c r="H147" t="s">
        <v>686</v>
      </c>
      <c r="I147" s="1">
        <v>2301</v>
      </c>
      <c r="J147">
        <v>2</v>
      </c>
    </row>
    <row r="148" spans="1:10" x14ac:dyDescent="0.25">
      <c r="A148">
        <v>260</v>
      </c>
      <c r="B148">
        <v>260</v>
      </c>
      <c r="C148" t="s">
        <v>1308</v>
      </c>
      <c r="D148" t="s">
        <v>2916</v>
      </c>
      <c r="E148" s="1">
        <v>2679</v>
      </c>
      <c r="F148" t="s">
        <v>1309</v>
      </c>
      <c r="G148" t="s">
        <v>1310</v>
      </c>
      <c r="H148" t="s">
        <v>1311</v>
      </c>
      <c r="I148">
        <v>307</v>
      </c>
      <c r="J148">
        <v>7</v>
      </c>
    </row>
    <row r="149" spans="1:10" x14ac:dyDescent="0.25">
      <c r="A149">
        <v>60</v>
      </c>
      <c r="B149">
        <v>60</v>
      </c>
      <c r="C149" t="s">
        <v>327</v>
      </c>
      <c r="D149" t="s">
        <v>2916</v>
      </c>
      <c r="E149" s="1">
        <v>2659</v>
      </c>
      <c r="F149" t="s">
        <v>328</v>
      </c>
      <c r="G149" t="s">
        <v>329</v>
      </c>
      <c r="H149" t="s">
        <v>330</v>
      </c>
      <c r="I149" s="1">
        <v>26181</v>
      </c>
      <c r="J149">
        <v>1</v>
      </c>
    </row>
    <row r="150" spans="1:10" x14ac:dyDescent="0.25">
      <c r="A150">
        <v>408</v>
      </c>
      <c r="B150">
        <v>408</v>
      </c>
      <c r="C150" t="s">
        <v>2029</v>
      </c>
      <c r="D150" t="s">
        <v>2916</v>
      </c>
      <c r="E150" s="1">
        <v>3491</v>
      </c>
      <c r="F150" t="s">
        <v>2030</v>
      </c>
      <c r="G150" t="s">
        <v>2031</v>
      </c>
      <c r="H150" t="s">
        <v>2032</v>
      </c>
      <c r="I150" s="1">
        <v>2616</v>
      </c>
      <c r="J150">
        <v>1</v>
      </c>
    </row>
    <row r="151" spans="1:10" x14ac:dyDescent="0.25">
      <c r="A151">
        <v>222</v>
      </c>
      <c r="B151">
        <v>222</v>
      </c>
      <c r="C151" t="s">
        <v>1124</v>
      </c>
      <c r="D151" t="s">
        <v>2916</v>
      </c>
      <c r="E151" s="1">
        <v>16846</v>
      </c>
      <c r="F151" t="s">
        <v>1125</v>
      </c>
      <c r="G151" t="s">
        <v>1126</v>
      </c>
      <c r="H151" t="s">
        <v>1127</v>
      </c>
      <c r="I151" s="1">
        <v>2317</v>
      </c>
      <c r="J151">
        <v>3</v>
      </c>
    </row>
    <row r="152" spans="1:10" x14ac:dyDescent="0.25">
      <c r="A152">
        <v>577</v>
      </c>
      <c r="B152">
        <v>577</v>
      </c>
      <c r="C152" t="s">
        <v>2834</v>
      </c>
      <c r="D152" t="s">
        <v>2916</v>
      </c>
      <c r="E152" s="1">
        <v>4552</v>
      </c>
      <c r="F152" t="s">
        <v>2835</v>
      </c>
      <c r="G152" t="s">
        <v>2836</v>
      </c>
      <c r="H152" t="s">
        <v>2837</v>
      </c>
      <c r="I152" s="1">
        <v>9262</v>
      </c>
      <c r="J152">
        <v>8</v>
      </c>
    </row>
    <row r="153" spans="1:10" x14ac:dyDescent="0.25">
      <c r="A153">
        <v>530</v>
      </c>
      <c r="B153">
        <v>530</v>
      </c>
      <c r="C153" t="s">
        <v>2610</v>
      </c>
      <c r="D153" t="s">
        <v>2916</v>
      </c>
      <c r="E153" s="1">
        <v>10503</v>
      </c>
      <c r="F153" t="s">
        <v>2611</v>
      </c>
      <c r="G153" t="s">
        <v>2612</v>
      </c>
      <c r="H153" t="s">
        <v>2613</v>
      </c>
      <c r="I153" s="1">
        <v>6829</v>
      </c>
      <c r="J153">
        <v>4</v>
      </c>
    </row>
    <row r="154" spans="1:10" x14ac:dyDescent="0.25">
      <c r="A154">
        <v>353</v>
      </c>
      <c r="B154">
        <v>353</v>
      </c>
      <c r="C154" t="s">
        <v>1760</v>
      </c>
      <c r="D154" t="s">
        <v>2916</v>
      </c>
      <c r="E154" s="1">
        <v>128286</v>
      </c>
      <c r="F154" t="s">
        <v>1761</v>
      </c>
      <c r="G154" t="s">
        <v>1762</v>
      </c>
      <c r="H154" t="s">
        <v>1763</v>
      </c>
      <c r="I154">
        <v>529</v>
      </c>
      <c r="J154">
        <v>2</v>
      </c>
    </row>
    <row r="155" spans="1:10" x14ac:dyDescent="0.25">
      <c r="A155">
        <v>66</v>
      </c>
      <c r="B155">
        <v>66</v>
      </c>
      <c r="C155" t="s">
        <v>356</v>
      </c>
      <c r="D155" t="s">
        <v>2917</v>
      </c>
      <c r="E155" s="1">
        <v>13389</v>
      </c>
      <c r="F155" t="s">
        <v>357</v>
      </c>
      <c r="G155" t="s">
        <v>358</v>
      </c>
      <c r="H155" t="s">
        <v>359</v>
      </c>
      <c r="I155" s="1">
        <v>28598</v>
      </c>
      <c r="J155">
        <v>2</v>
      </c>
    </row>
    <row r="156" spans="1:10" x14ac:dyDescent="0.25">
      <c r="A156">
        <v>281</v>
      </c>
      <c r="B156">
        <v>281</v>
      </c>
      <c r="C156" t="s">
        <v>1410</v>
      </c>
      <c r="D156" t="s">
        <v>2917</v>
      </c>
      <c r="E156" s="1">
        <v>1241</v>
      </c>
      <c r="F156" t="s">
        <v>1411</v>
      </c>
      <c r="G156" t="s">
        <v>1412</v>
      </c>
      <c r="H156" t="s">
        <v>1413</v>
      </c>
      <c r="I156">
        <v>139</v>
      </c>
      <c r="J156">
        <v>1</v>
      </c>
    </row>
    <row r="157" spans="1:10" x14ac:dyDescent="0.25">
      <c r="A157">
        <v>304</v>
      </c>
      <c r="B157">
        <v>304</v>
      </c>
      <c r="C157" t="s">
        <v>1520</v>
      </c>
      <c r="D157" t="s">
        <v>2916</v>
      </c>
      <c r="E157" s="1">
        <v>2270</v>
      </c>
      <c r="F157" t="s">
        <v>1521</v>
      </c>
      <c r="G157" t="s">
        <v>1522</v>
      </c>
      <c r="H157" t="s">
        <v>1523</v>
      </c>
      <c r="I157">
        <v>916</v>
      </c>
      <c r="J157">
        <v>2</v>
      </c>
    </row>
    <row r="158" spans="1:10" x14ac:dyDescent="0.25">
      <c r="A158">
        <v>32</v>
      </c>
      <c r="B158">
        <v>32</v>
      </c>
      <c r="C158" t="s">
        <v>185</v>
      </c>
      <c r="D158" t="s">
        <v>2916</v>
      </c>
      <c r="E158" s="1">
        <v>1552</v>
      </c>
      <c r="F158" t="s">
        <v>186</v>
      </c>
      <c r="G158" t="s">
        <v>187</v>
      </c>
      <c r="H158" t="s">
        <v>188</v>
      </c>
      <c r="I158" s="1">
        <v>15665</v>
      </c>
      <c r="J158">
        <v>2</v>
      </c>
    </row>
    <row r="159" spans="1:10" x14ac:dyDescent="0.25">
      <c r="A159">
        <v>124</v>
      </c>
      <c r="B159">
        <v>124</v>
      </c>
      <c r="C159" t="s">
        <v>643</v>
      </c>
      <c r="D159" t="s">
        <v>2917</v>
      </c>
      <c r="E159" s="1">
        <v>45254</v>
      </c>
      <c r="F159" t="s">
        <v>644</v>
      </c>
      <c r="G159" t="s">
        <v>645</v>
      </c>
      <c r="H159" t="s">
        <v>646</v>
      </c>
      <c r="I159">
        <v>61</v>
      </c>
      <c r="J159">
        <v>3</v>
      </c>
    </row>
    <row r="160" spans="1:10" x14ac:dyDescent="0.25">
      <c r="A160">
        <v>420</v>
      </c>
      <c r="B160">
        <v>420</v>
      </c>
      <c r="C160" t="s">
        <v>2087</v>
      </c>
      <c r="D160" t="s">
        <v>2916</v>
      </c>
      <c r="E160" s="1">
        <v>6115</v>
      </c>
      <c r="F160" t="s">
        <v>2088</v>
      </c>
      <c r="G160" t="s">
        <v>2089</v>
      </c>
      <c r="H160" t="s">
        <v>2090</v>
      </c>
      <c r="I160">
        <v>177</v>
      </c>
      <c r="J160">
        <v>2</v>
      </c>
    </row>
    <row r="161" spans="1:10" x14ac:dyDescent="0.25">
      <c r="A161">
        <v>211</v>
      </c>
      <c r="B161">
        <v>211</v>
      </c>
      <c r="C161" t="s">
        <v>1070</v>
      </c>
      <c r="D161" t="s">
        <v>2916</v>
      </c>
      <c r="E161" s="1">
        <v>2333</v>
      </c>
      <c r="F161" t="s">
        <v>1071</v>
      </c>
      <c r="G161" t="s">
        <v>1072</v>
      </c>
      <c r="H161" t="s">
        <v>1073</v>
      </c>
      <c r="I161" s="1">
        <v>1379</v>
      </c>
      <c r="J161">
        <v>2</v>
      </c>
    </row>
    <row r="162" spans="1:10" x14ac:dyDescent="0.25">
      <c r="A162">
        <v>40</v>
      </c>
      <c r="B162">
        <v>40</v>
      </c>
      <c r="C162" t="s">
        <v>226</v>
      </c>
      <c r="D162" t="s">
        <v>2916</v>
      </c>
      <c r="E162">
        <v>294</v>
      </c>
      <c r="F162" t="s">
        <v>227</v>
      </c>
      <c r="G162" t="s">
        <v>228</v>
      </c>
      <c r="H162" t="s">
        <v>229</v>
      </c>
      <c r="I162" s="1">
        <v>18200</v>
      </c>
      <c r="J162">
        <v>4</v>
      </c>
    </row>
    <row r="163" spans="1:10" x14ac:dyDescent="0.25">
      <c r="A163">
        <v>129</v>
      </c>
      <c r="B163">
        <v>129</v>
      </c>
      <c r="C163" t="s">
        <v>668</v>
      </c>
      <c r="D163" t="s">
        <v>2916</v>
      </c>
      <c r="E163" s="1">
        <v>14686</v>
      </c>
      <c r="F163" t="s">
        <v>669</v>
      </c>
      <c r="G163" t="s">
        <v>670</v>
      </c>
      <c r="H163" t="s">
        <v>671</v>
      </c>
      <c r="I163">
        <v>341</v>
      </c>
      <c r="J163">
        <v>4</v>
      </c>
    </row>
    <row r="164" spans="1:10" x14ac:dyDescent="0.25">
      <c r="A164">
        <v>561</v>
      </c>
      <c r="B164">
        <v>561</v>
      </c>
      <c r="C164" t="s">
        <v>2760</v>
      </c>
      <c r="D164" t="s">
        <v>2916</v>
      </c>
      <c r="E164" s="1">
        <v>73215</v>
      </c>
      <c r="F164" t="s">
        <v>2761</v>
      </c>
      <c r="G164" t="s">
        <v>2762</v>
      </c>
      <c r="J164">
        <v>7</v>
      </c>
    </row>
    <row r="165" spans="1:10" x14ac:dyDescent="0.25">
      <c r="A165">
        <v>397</v>
      </c>
      <c r="B165">
        <v>397</v>
      </c>
      <c r="C165" t="s">
        <v>1975</v>
      </c>
      <c r="D165" t="s">
        <v>2916</v>
      </c>
      <c r="E165" s="1">
        <v>34458</v>
      </c>
      <c r="F165" t="s">
        <v>1976</v>
      </c>
      <c r="G165" t="s">
        <v>1977</v>
      </c>
      <c r="H165" t="s">
        <v>1978</v>
      </c>
      <c r="I165">
        <v>185</v>
      </c>
      <c r="J165">
        <v>3</v>
      </c>
    </row>
    <row r="166" spans="1:10" x14ac:dyDescent="0.25">
      <c r="A166">
        <v>401</v>
      </c>
      <c r="B166">
        <v>401</v>
      </c>
      <c r="C166" t="s">
        <v>1995</v>
      </c>
      <c r="D166" t="s">
        <v>2917</v>
      </c>
      <c r="E166" s="1">
        <v>3180</v>
      </c>
      <c r="F166" t="s">
        <v>1996</v>
      </c>
      <c r="G166" t="s">
        <v>1997</v>
      </c>
      <c r="H166" t="s">
        <v>1998</v>
      </c>
      <c r="I166" s="1">
        <v>2347</v>
      </c>
      <c r="J166">
        <v>2</v>
      </c>
    </row>
    <row r="167" spans="1:10" x14ac:dyDescent="0.25">
      <c r="A167">
        <v>495</v>
      </c>
      <c r="B167">
        <v>495</v>
      </c>
      <c r="C167" t="s">
        <v>2442</v>
      </c>
      <c r="D167" t="s">
        <v>2917</v>
      </c>
      <c r="E167" s="1">
        <v>19975</v>
      </c>
      <c r="F167" t="s">
        <v>2443</v>
      </c>
      <c r="G167" t="s">
        <v>2444</v>
      </c>
      <c r="H167" t="s">
        <v>2445</v>
      </c>
      <c r="I167" s="1">
        <v>2555</v>
      </c>
      <c r="J167">
        <v>1</v>
      </c>
    </row>
    <row r="168" spans="1:10" x14ac:dyDescent="0.25">
      <c r="A168">
        <v>315</v>
      </c>
      <c r="B168">
        <v>315</v>
      </c>
      <c r="C168" t="s">
        <v>1573</v>
      </c>
      <c r="D168" t="s">
        <v>2916</v>
      </c>
      <c r="E168" s="1">
        <v>4628</v>
      </c>
      <c r="F168" t="s">
        <v>1574</v>
      </c>
      <c r="G168" t="s">
        <v>1575</v>
      </c>
      <c r="H168" t="s">
        <v>1576</v>
      </c>
      <c r="I168">
        <v>63</v>
      </c>
      <c r="J168">
        <v>2</v>
      </c>
    </row>
    <row r="169" spans="1:10" x14ac:dyDescent="0.25">
      <c r="A169">
        <v>438</v>
      </c>
      <c r="B169">
        <v>438</v>
      </c>
      <c r="C169" t="s">
        <v>2174</v>
      </c>
      <c r="D169" t="s">
        <v>2916</v>
      </c>
      <c r="E169" s="1">
        <v>30166</v>
      </c>
      <c r="F169" t="s">
        <v>2175</v>
      </c>
      <c r="G169" t="s">
        <v>2176</v>
      </c>
      <c r="H169" t="s">
        <v>2177</v>
      </c>
      <c r="I169">
        <v>305</v>
      </c>
      <c r="J169">
        <v>3</v>
      </c>
    </row>
    <row r="170" spans="1:10" x14ac:dyDescent="0.25">
      <c r="A170">
        <v>55</v>
      </c>
      <c r="B170">
        <v>55</v>
      </c>
      <c r="C170" t="s">
        <v>302</v>
      </c>
      <c r="D170" t="s">
        <v>2917</v>
      </c>
      <c r="E170" s="1">
        <v>6988</v>
      </c>
      <c r="F170" t="s">
        <v>303</v>
      </c>
      <c r="G170" t="s">
        <v>304</v>
      </c>
      <c r="H170" t="s">
        <v>305</v>
      </c>
      <c r="I170" s="1">
        <v>23265</v>
      </c>
      <c r="J170">
        <v>2</v>
      </c>
    </row>
    <row r="171" spans="1:10" x14ac:dyDescent="0.25">
      <c r="A171">
        <v>220</v>
      </c>
      <c r="B171">
        <v>220</v>
      </c>
      <c r="C171" t="s">
        <v>1114</v>
      </c>
      <c r="D171" t="s">
        <v>2916</v>
      </c>
      <c r="E171" s="1">
        <v>23085</v>
      </c>
      <c r="F171" t="s">
        <v>1115</v>
      </c>
      <c r="G171" t="s">
        <v>1116</v>
      </c>
      <c r="H171" t="s">
        <v>1117</v>
      </c>
      <c r="I171">
        <v>613</v>
      </c>
      <c r="J171">
        <v>2</v>
      </c>
    </row>
    <row r="172" spans="1:10" x14ac:dyDescent="0.25">
      <c r="A172">
        <v>162</v>
      </c>
      <c r="B172">
        <v>162</v>
      </c>
      <c r="C172" t="s">
        <v>829</v>
      </c>
      <c r="D172" t="s">
        <v>2916</v>
      </c>
      <c r="E172" s="1">
        <v>14098</v>
      </c>
      <c r="F172" t="s">
        <v>830</v>
      </c>
      <c r="G172" t="s">
        <v>831</v>
      </c>
      <c r="H172" t="s">
        <v>832</v>
      </c>
      <c r="I172">
        <v>748</v>
      </c>
      <c r="J172">
        <v>4</v>
      </c>
    </row>
    <row r="173" spans="1:10" x14ac:dyDescent="0.25">
      <c r="A173">
        <v>106</v>
      </c>
      <c r="B173">
        <v>106</v>
      </c>
      <c r="C173" t="s">
        <v>554</v>
      </c>
      <c r="D173" t="s">
        <v>2916</v>
      </c>
      <c r="E173" s="1">
        <v>3655</v>
      </c>
      <c r="F173" t="s">
        <v>555</v>
      </c>
      <c r="G173" t="s">
        <v>556</v>
      </c>
      <c r="H173" t="s">
        <v>557</v>
      </c>
      <c r="I173" s="1">
        <v>238735</v>
      </c>
      <c r="J173">
        <v>2</v>
      </c>
    </row>
    <row r="174" spans="1:10" x14ac:dyDescent="0.25">
      <c r="A174">
        <v>562</v>
      </c>
      <c r="B174">
        <v>562</v>
      </c>
      <c r="C174" t="s">
        <v>2764</v>
      </c>
      <c r="D174" t="s">
        <v>2916</v>
      </c>
      <c r="E174" s="1">
        <v>48617</v>
      </c>
      <c r="F174" t="s">
        <v>2765</v>
      </c>
      <c r="G174" t="s">
        <v>2766</v>
      </c>
      <c r="H174" t="s">
        <v>2767</v>
      </c>
      <c r="I174">
        <v>724</v>
      </c>
      <c r="J174">
        <v>3</v>
      </c>
    </row>
    <row r="175" spans="1:10" x14ac:dyDescent="0.25">
      <c r="A175">
        <v>363</v>
      </c>
      <c r="B175">
        <v>363</v>
      </c>
      <c r="C175" t="s">
        <v>1809</v>
      </c>
      <c r="D175" t="s">
        <v>2916</v>
      </c>
      <c r="E175" s="1">
        <v>4615</v>
      </c>
      <c r="F175" t="s">
        <v>1810</v>
      </c>
      <c r="G175" t="s">
        <v>1811</v>
      </c>
      <c r="H175" t="s">
        <v>1812</v>
      </c>
      <c r="I175">
        <v>139</v>
      </c>
      <c r="J175">
        <v>1</v>
      </c>
    </row>
    <row r="176" spans="1:10" x14ac:dyDescent="0.25">
      <c r="A176">
        <v>327</v>
      </c>
      <c r="B176">
        <v>327</v>
      </c>
      <c r="C176" t="s">
        <v>1632</v>
      </c>
      <c r="D176" t="s">
        <v>2916</v>
      </c>
      <c r="E176" s="1">
        <v>12316</v>
      </c>
      <c r="F176" t="s">
        <v>1633</v>
      </c>
      <c r="G176" t="s">
        <v>1634</v>
      </c>
      <c r="H176" t="s">
        <v>1635</v>
      </c>
      <c r="I176" s="1">
        <v>4868</v>
      </c>
      <c r="J176">
        <v>1</v>
      </c>
    </row>
    <row r="177" spans="1:10" x14ac:dyDescent="0.25">
      <c r="A177">
        <v>97</v>
      </c>
      <c r="B177">
        <v>97</v>
      </c>
      <c r="C177" t="s">
        <v>510</v>
      </c>
      <c r="D177" t="s">
        <v>2916</v>
      </c>
      <c r="E177" s="1">
        <v>6237</v>
      </c>
      <c r="F177" t="s">
        <v>511</v>
      </c>
      <c r="G177" t="s">
        <v>512</v>
      </c>
      <c r="H177" t="s">
        <v>513</v>
      </c>
      <c r="I177" s="1">
        <v>100550</v>
      </c>
      <c r="J177">
        <v>2</v>
      </c>
    </row>
    <row r="178" spans="1:10" x14ac:dyDescent="0.25">
      <c r="A178">
        <v>409</v>
      </c>
      <c r="B178">
        <v>409</v>
      </c>
      <c r="C178" t="s">
        <v>2034</v>
      </c>
      <c r="D178" t="s">
        <v>2916</v>
      </c>
      <c r="E178" s="1">
        <v>25872</v>
      </c>
      <c r="F178" t="s">
        <v>2035</v>
      </c>
      <c r="G178" t="s">
        <v>2036</v>
      </c>
      <c r="H178" t="s">
        <v>2037</v>
      </c>
      <c r="I178" s="1">
        <v>1261</v>
      </c>
      <c r="J178">
        <v>5</v>
      </c>
    </row>
    <row r="179" spans="1:10" x14ac:dyDescent="0.25">
      <c r="A179">
        <v>85</v>
      </c>
      <c r="B179">
        <v>85</v>
      </c>
      <c r="C179" t="s">
        <v>452</v>
      </c>
      <c r="D179" t="s">
        <v>2916</v>
      </c>
      <c r="E179" s="1">
        <v>2741</v>
      </c>
      <c r="F179" t="s">
        <v>453</v>
      </c>
      <c r="G179" t="s">
        <v>454</v>
      </c>
      <c r="H179" t="s">
        <v>455</v>
      </c>
      <c r="I179" s="1">
        <v>55947</v>
      </c>
      <c r="J179">
        <v>2</v>
      </c>
    </row>
    <row r="180" spans="1:10" x14ac:dyDescent="0.25">
      <c r="A180">
        <v>262</v>
      </c>
      <c r="B180">
        <v>262</v>
      </c>
      <c r="C180" t="s">
        <v>1318</v>
      </c>
      <c r="D180" t="s">
        <v>2917</v>
      </c>
      <c r="E180">
        <v>550</v>
      </c>
      <c r="F180" t="s">
        <v>1319</v>
      </c>
      <c r="G180" t="s">
        <v>1320</v>
      </c>
      <c r="H180" t="s">
        <v>1321</v>
      </c>
      <c r="I180" s="1">
        <v>3473</v>
      </c>
      <c r="J180">
        <v>2</v>
      </c>
    </row>
    <row r="181" spans="1:10" x14ac:dyDescent="0.25">
      <c r="A181">
        <v>35</v>
      </c>
      <c r="B181">
        <v>35</v>
      </c>
      <c r="C181" t="s">
        <v>200</v>
      </c>
      <c r="D181" t="s">
        <v>2916</v>
      </c>
      <c r="E181" s="1">
        <v>2402</v>
      </c>
      <c r="F181" t="s">
        <v>201</v>
      </c>
      <c r="G181" t="s">
        <v>202</v>
      </c>
      <c r="H181" t="s">
        <v>203</v>
      </c>
      <c r="I181" s="1">
        <v>16385</v>
      </c>
      <c r="J181">
        <v>1</v>
      </c>
    </row>
    <row r="182" spans="1:10" x14ac:dyDescent="0.25">
      <c r="A182">
        <v>175</v>
      </c>
      <c r="B182">
        <v>175</v>
      </c>
      <c r="C182" t="s">
        <v>893</v>
      </c>
      <c r="D182" t="s">
        <v>2916</v>
      </c>
      <c r="E182" s="1">
        <v>1009</v>
      </c>
      <c r="F182" t="s">
        <v>894</v>
      </c>
      <c r="G182" t="s">
        <v>895</v>
      </c>
      <c r="H182" t="s">
        <v>896</v>
      </c>
      <c r="I182">
        <v>653</v>
      </c>
      <c r="J182">
        <v>1</v>
      </c>
    </row>
    <row r="183" spans="1:10" x14ac:dyDescent="0.25">
      <c r="A183">
        <v>406</v>
      </c>
      <c r="B183">
        <v>406</v>
      </c>
      <c r="C183" t="s">
        <v>2019</v>
      </c>
      <c r="D183" t="s">
        <v>2916</v>
      </c>
      <c r="E183" s="1">
        <v>6312</v>
      </c>
      <c r="F183" t="s">
        <v>2020</v>
      </c>
      <c r="G183" t="s">
        <v>2021</v>
      </c>
      <c r="H183" t="s">
        <v>2022</v>
      </c>
      <c r="I183" s="1">
        <v>1380</v>
      </c>
      <c r="J183">
        <v>1</v>
      </c>
    </row>
    <row r="184" spans="1:10" x14ac:dyDescent="0.25">
      <c r="A184">
        <v>580</v>
      </c>
      <c r="B184">
        <v>580</v>
      </c>
      <c r="C184" t="s">
        <v>2849</v>
      </c>
      <c r="D184" t="s">
        <v>2917</v>
      </c>
      <c r="E184">
        <v>432</v>
      </c>
      <c r="F184" t="s">
        <v>2850</v>
      </c>
      <c r="G184" t="s">
        <v>2851</v>
      </c>
      <c r="H184" t="s">
        <v>2852</v>
      </c>
      <c r="I184" s="1">
        <v>4552</v>
      </c>
      <c r="J184">
        <v>3</v>
      </c>
    </row>
    <row r="185" spans="1:10" x14ac:dyDescent="0.25">
      <c r="A185">
        <v>375</v>
      </c>
      <c r="B185">
        <v>375</v>
      </c>
      <c r="C185" t="s">
        <v>1868</v>
      </c>
      <c r="D185" t="s">
        <v>2916</v>
      </c>
      <c r="E185" s="1">
        <v>9958</v>
      </c>
      <c r="F185" t="s">
        <v>1869</v>
      </c>
      <c r="G185" t="s">
        <v>1870</v>
      </c>
      <c r="H185" t="s">
        <v>1871</v>
      </c>
      <c r="I185">
        <v>812</v>
      </c>
      <c r="J185">
        <v>2</v>
      </c>
    </row>
    <row r="186" spans="1:10" x14ac:dyDescent="0.25">
      <c r="A186">
        <v>172</v>
      </c>
      <c r="B186">
        <v>172</v>
      </c>
      <c r="C186" t="s">
        <v>878</v>
      </c>
      <c r="D186" t="s">
        <v>2916</v>
      </c>
      <c r="E186" s="1">
        <v>5133</v>
      </c>
      <c r="F186" t="s">
        <v>879</v>
      </c>
      <c r="G186" t="s">
        <v>880</v>
      </c>
      <c r="H186" t="s">
        <v>881</v>
      </c>
      <c r="I186" s="1">
        <v>4242</v>
      </c>
      <c r="J186">
        <v>10</v>
      </c>
    </row>
    <row r="187" spans="1:10" x14ac:dyDescent="0.25">
      <c r="A187">
        <v>582</v>
      </c>
      <c r="B187">
        <v>582</v>
      </c>
      <c r="C187" t="s">
        <v>2858</v>
      </c>
      <c r="D187" t="s">
        <v>2916</v>
      </c>
      <c r="E187" s="1">
        <v>6705</v>
      </c>
      <c r="F187" t="s">
        <v>2859</v>
      </c>
      <c r="G187" t="s">
        <v>2860</v>
      </c>
      <c r="H187" t="s">
        <v>2861</v>
      </c>
      <c r="I187" s="1">
        <v>1801</v>
      </c>
      <c r="J187">
        <v>1</v>
      </c>
    </row>
    <row r="188" spans="1:10" x14ac:dyDescent="0.25">
      <c r="A188">
        <v>512</v>
      </c>
      <c r="B188">
        <v>512</v>
      </c>
      <c r="C188" t="s">
        <v>2522</v>
      </c>
      <c r="D188" t="s">
        <v>2916</v>
      </c>
      <c r="E188" s="1">
        <v>121875</v>
      </c>
      <c r="F188" t="s">
        <v>2523</v>
      </c>
      <c r="G188" t="s">
        <v>2524</v>
      </c>
      <c r="H188" t="s">
        <v>2525</v>
      </c>
      <c r="I188" s="1">
        <v>1552</v>
      </c>
      <c r="J188">
        <v>11</v>
      </c>
    </row>
    <row r="189" spans="1:10" x14ac:dyDescent="0.25">
      <c r="A189">
        <v>520</v>
      </c>
      <c r="B189">
        <v>520</v>
      </c>
      <c r="C189" t="s">
        <v>2561</v>
      </c>
      <c r="D189" t="s">
        <v>2916</v>
      </c>
      <c r="E189" s="1">
        <v>86681</v>
      </c>
      <c r="F189" t="s">
        <v>2562</v>
      </c>
      <c r="G189" t="s">
        <v>2563</v>
      </c>
      <c r="H189" t="s">
        <v>2564</v>
      </c>
      <c r="I189" s="1">
        <v>1363</v>
      </c>
      <c r="J189">
        <v>7</v>
      </c>
    </row>
    <row r="190" spans="1:10" x14ac:dyDescent="0.25">
      <c r="A190">
        <v>546</v>
      </c>
      <c r="B190">
        <v>546</v>
      </c>
      <c r="C190" t="s">
        <v>2687</v>
      </c>
      <c r="D190" t="s">
        <v>2916</v>
      </c>
      <c r="E190" s="1">
        <v>1887</v>
      </c>
      <c r="F190" t="s">
        <v>2688</v>
      </c>
      <c r="G190" t="s">
        <v>2689</v>
      </c>
      <c r="H190" t="s">
        <v>2690</v>
      </c>
      <c r="I190" s="1">
        <v>2125</v>
      </c>
      <c r="J190">
        <v>8</v>
      </c>
    </row>
    <row r="191" spans="1:10" x14ac:dyDescent="0.25">
      <c r="A191">
        <v>13</v>
      </c>
      <c r="B191">
        <v>13</v>
      </c>
      <c r="C191" t="s">
        <v>86</v>
      </c>
      <c r="D191" t="s">
        <v>2916</v>
      </c>
      <c r="E191">
        <v>641</v>
      </c>
      <c r="F191" t="s">
        <v>87</v>
      </c>
      <c r="G191" t="s">
        <v>88</v>
      </c>
      <c r="H191" t="s">
        <v>89</v>
      </c>
      <c r="I191" s="1">
        <v>11772</v>
      </c>
      <c r="J191">
        <v>2</v>
      </c>
    </row>
    <row r="192" spans="1:10" x14ac:dyDescent="0.25">
      <c r="A192">
        <v>294</v>
      </c>
      <c r="B192">
        <v>294</v>
      </c>
      <c r="C192" t="s">
        <v>1471</v>
      </c>
      <c r="D192" t="s">
        <v>2916</v>
      </c>
      <c r="E192" s="1">
        <v>2758</v>
      </c>
      <c r="F192" t="s">
        <v>1472</v>
      </c>
      <c r="G192" t="s">
        <v>1473</v>
      </c>
      <c r="H192" t="s">
        <v>1474</v>
      </c>
      <c r="I192" s="1">
        <v>2903</v>
      </c>
      <c r="J192">
        <v>3</v>
      </c>
    </row>
    <row r="193" spans="1:10" x14ac:dyDescent="0.25">
      <c r="A193">
        <v>466</v>
      </c>
      <c r="B193">
        <v>466</v>
      </c>
      <c r="C193" t="s">
        <v>2309</v>
      </c>
      <c r="D193" t="s">
        <v>2917</v>
      </c>
      <c r="E193" s="1">
        <v>20310</v>
      </c>
      <c r="F193" t="s">
        <v>2310</v>
      </c>
      <c r="G193" t="s">
        <v>2311</v>
      </c>
      <c r="H193" t="s">
        <v>2312</v>
      </c>
      <c r="I193" s="1">
        <v>5956</v>
      </c>
      <c r="J193">
        <v>5</v>
      </c>
    </row>
    <row r="194" spans="1:10" x14ac:dyDescent="0.25">
      <c r="A194">
        <v>579</v>
      </c>
      <c r="B194">
        <v>579</v>
      </c>
      <c r="C194" t="s">
        <v>2844</v>
      </c>
      <c r="D194" t="s">
        <v>2916</v>
      </c>
      <c r="E194" s="1">
        <v>28958</v>
      </c>
      <c r="F194" t="s">
        <v>2845</v>
      </c>
      <c r="G194" t="s">
        <v>2846</v>
      </c>
      <c r="H194" t="s">
        <v>2847</v>
      </c>
      <c r="I194" s="1">
        <v>4853</v>
      </c>
      <c r="J194">
        <v>3</v>
      </c>
    </row>
    <row r="195" spans="1:10" x14ac:dyDescent="0.25">
      <c r="A195">
        <v>195</v>
      </c>
      <c r="B195">
        <v>195</v>
      </c>
      <c r="C195" t="s">
        <v>992</v>
      </c>
      <c r="D195" t="s">
        <v>2917</v>
      </c>
      <c r="E195" s="1">
        <v>25303</v>
      </c>
      <c r="F195" t="s">
        <v>993</v>
      </c>
      <c r="G195" t="s">
        <v>994</v>
      </c>
      <c r="H195" t="s">
        <v>995</v>
      </c>
      <c r="I195">
        <v>285</v>
      </c>
      <c r="J195">
        <v>2</v>
      </c>
    </row>
    <row r="196" spans="1:10" x14ac:dyDescent="0.25">
      <c r="A196">
        <v>418</v>
      </c>
      <c r="B196">
        <v>418</v>
      </c>
      <c r="C196" t="s">
        <v>2077</v>
      </c>
      <c r="D196" t="s">
        <v>2916</v>
      </c>
      <c r="E196" s="1">
        <v>7424</v>
      </c>
      <c r="F196" t="s">
        <v>2078</v>
      </c>
      <c r="G196" t="s">
        <v>2079</v>
      </c>
      <c r="H196" t="s">
        <v>2080</v>
      </c>
      <c r="I196">
        <v>195</v>
      </c>
      <c r="J196">
        <v>5</v>
      </c>
    </row>
    <row r="197" spans="1:10" x14ac:dyDescent="0.25">
      <c r="A197">
        <v>482</v>
      </c>
      <c r="B197">
        <v>482</v>
      </c>
      <c r="C197" t="s">
        <v>2383</v>
      </c>
      <c r="D197" t="s">
        <v>2916</v>
      </c>
      <c r="E197">
        <v>568</v>
      </c>
      <c r="F197" t="s">
        <v>2384</v>
      </c>
      <c r="G197" t="s">
        <v>2385</v>
      </c>
      <c r="H197" t="s">
        <v>2386</v>
      </c>
      <c r="I197">
        <v>85</v>
      </c>
      <c r="J197">
        <v>3</v>
      </c>
    </row>
    <row r="198" spans="1:10" x14ac:dyDescent="0.25">
      <c r="A198">
        <v>212</v>
      </c>
      <c r="B198">
        <v>212</v>
      </c>
      <c r="C198" t="s">
        <v>1075</v>
      </c>
      <c r="D198" t="s">
        <v>2916</v>
      </c>
      <c r="E198" s="1">
        <v>36103</v>
      </c>
      <c r="F198" t="s">
        <v>1076</v>
      </c>
      <c r="G198" t="s">
        <v>1077</v>
      </c>
      <c r="H198" t="s">
        <v>1078</v>
      </c>
      <c r="I198" s="1">
        <v>1680</v>
      </c>
      <c r="J198">
        <v>6</v>
      </c>
    </row>
    <row r="199" spans="1:10" x14ac:dyDescent="0.25">
      <c r="A199">
        <v>44</v>
      </c>
      <c r="B199">
        <v>44</v>
      </c>
      <c r="C199" t="s">
        <v>247</v>
      </c>
      <c r="D199" t="s">
        <v>2916</v>
      </c>
      <c r="E199" s="1">
        <v>18106</v>
      </c>
      <c r="F199" t="s">
        <v>248</v>
      </c>
      <c r="G199" t="s">
        <v>249</v>
      </c>
      <c r="H199" t="s">
        <v>250</v>
      </c>
      <c r="I199" s="1">
        <v>19437</v>
      </c>
      <c r="J199">
        <v>4</v>
      </c>
    </row>
    <row r="200" spans="1:10" x14ac:dyDescent="0.25">
      <c r="A200">
        <v>244</v>
      </c>
      <c r="B200">
        <v>244</v>
      </c>
      <c r="C200" t="s">
        <v>1232</v>
      </c>
      <c r="D200" t="s">
        <v>2916</v>
      </c>
      <c r="E200" s="1">
        <v>244953</v>
      </c>
      <c r="F200" t="s">
        <v>1233</v>
      </c>
      <c r="G200" t="s">
        <v>1234</v>
      </c>
      <c r="H200" t="s">
        <v>1235</v>
      </c>
      <c r="I200" s="1">
        <v>2089</v>
      </c>
      <c r="J200">
        <v>5</v>
      </c>
    </row>
    <row r="201" spans="1:10" x14ac:dyDescent="0.25">
      <c r="A201">
        <v>361</v>
      </c>
      <c r="B201">
        <v>361</v>
      </c>
      <c r="C201" t="s">
        <v>1799</v>
      </c>
      <c r="D201" t="s">
        <v>2917</v>
      </c>
      <c r="E201" s="1">
        <v>9492</v>
      </c>
      <c r="F201" t="s">
        <v>1800</v>
      </c>
      <c r="G201" t="s">
        <v>1801</v>
      </c>
      <c r="H201" t="s">
        <v>1802</v>
      </c>
      <c r="I201">
        <v>313</v>
      </c>
      <c r="J201">
        <v>3</v>
      </c>
    </row>
    <row r="202" spans="1:10" x14ac:dyDescent="0.25">
      <c r="A202">
        <v>61</v>
      </c>
      <c r="B202">
        <v>61</v>
      </c>
      <c r="C202" t="s">
        <v>332</v>
      </c>
      <c r="D202" t="s">
        <v>2916</v>
      </c>
      <c r="E202" s="1">
        <v>4468</v>
      </c>
      <c r="F202" t="s">
        <v>333</v>
      </c>
      <c r="G202" t="s">
        <v>334</v>
      </c>
      <c r="H202" t="s">
        <v>335</v>
      </c>
      <c r="I202" s="1">
        <v>26607</v>
      </c>
      <c r="J202">
        <v>5</v>
      </c>
    </row>
    <row r="203" spans="1:10" x14ac:dyDescent="0.25">
      <c r="A203">
        <v>259</v>
      </c>
      <c r="B203">
        <v>259</v>
      </c>
      <c r="C203" t="s">
        <v>1303</v>
      </c>
      <c r="D203" t="s">
        <v>2916</v>
      </c>
      <c r="E203" s="1">
        <v>25100</v>
      </c>
      <c r="F203" t="s">
        <v>1304</v>
      </c>
      <c r="G203" t="s">
        <v>1305</v>
      </c>
      <c r="H203" t="s">
        <v>1306</v>
      </c>
      <c r="I203">
        <v>411</v>
      </c>
      <c r="J203">
        <v>1</v>
      </c>
    </row>
    <row r="204" spans="1:10" x14ac:dyDescent="0.25">
      <c r="A204">
        <v>532</v>
      </c>
      <c r="B204">
        <v>532</v>
      </c>
      <c r="C204" t="s">
        <v>2620</v>
      </c>
      <c r="D204" t="s">
        <v>2916</v>
      </c>
      <c r="E204" s="1">
        <v>52814</v>
      </c>
      <c r="F204" t="s">
        <v>2621</v>
      </c>
      <c r="G204" t="s">
        <v>2622</v>
      </c>
      <c r="H204" t="s">
        <v>2623</v>
      </c>
      <c r="I204" s="1">
        <v>2553</v>
      </c>
      <c r="J204">
        <v>5</v>
      </c>
    </row>
    <row r="205" spans="1:10" x14ac:dyDescent="0.25">
      <c r="A205">
        <v>28</v>
      </c>
      <c r="B205">
        <v>28</v>
      </c>
      <c r="C205" t="s">
        <v>164</v>
      </c>
      <c r="D205" t="s">
        <v>2916</v>
      </c>
      <c r="E205" s="1">
        <v>1876</v>
      </c>
      <c r="F205" t="s">
        <v>165</v>
      </c>
      <c r="G205" t="s">
        <v>166</v>
      </c>
      <c r="H205" t="s">
        <v>167</v>
      </c>
      <c r="I205" s="1">
        <v>14817</v>
      </c>
      <c r="J205">
        <v>1</v>
      </c>
    </row>
    <row r="206" spans="1:10" x14ac:dyDescent="0.25">
      <c r="A206">
        <v>264</v>
      </c>
      <c r="B206">
        <v>264</v>
      </c>
      <c r="C206" t="s">
        <v>1327</v>
      </c>
      <c r="D206" t="s">
        <v>2916</v>
      </c>
      <c r="E206" s="1">
        <v>19582</v>
      </c>
      <c r="F206" t="s">
        <v>1328</v>
      </c>
      <c r="G206" t="s">
        <v>1329</v>
      </c>
      <c r="H206" t="s">
        <v>1330</v>
      </c>
      <c r="I206" s="1">
        <v>9236</v>
      </c>
      <c r="J206">
        <v>3</v>
      </c>
    </row>
    <row r="207" spans="1:10" x14ac:dyDescent="0.25">
      <c r="A207">
        <v>362</v>
      </c>
      <c r="B207">
        <v>362</v>
      </c>
      <c r="C207" t="s">
        <v>1804</v>
      </c>
      <c r="D207" t="s">
        <v>2917</v>
      </c>
      <c r="E207" s="1">
        <v>9582</v>
      </c>
      <c r="F207" t="s">
        <v>1805</v>
      </c>
      <c r="G207" t="s">
        <v>1806</v>
      </c>
      <c r="H207" t="s">
        <v>1807</v>
      </c>
      <c r="I207">
        <v>823</v>
      </c>
      <c r="J207">
        <v>4</v>
      </c>
    </row>
    <row r="208" spans="1:10" x14ac:dyDescent="0.25">
      <c r="A208">
        <v>155</v>
      </c>
      <c r="B208">
        <v>155</v>
      </c>
      <c r="C208" t="s">
        <v>795</v>
      </c>
      <c r="D208" t="s">
        <v>2916</v>
      </c>
      <c r="E208" s="1">
        <v>17452</v>
      </c>
      <c r="F208" t="s">
        <v>796</v>
      </c>
      <c r="G208" t="s">
        <v>797</v>
      </c>
      <c r="H208" t="s">
        <v>798</v>
      </c>
      <c r="I208">
        <v>632</v>
      </c>
      <c r="J208">
        <v>3</v>
      </c>
    </row>
    <row r="209" spans="1:10" x14ac:dyDescent="0.25">
      <c r="A209">
        <v>37</v>
      </c>
      <c r="B209">
        <v>37</v>
      </c>
      <c r="C209" t="s">
        <v>210</v>
      </c>
      <c r="D209" t="s">
        <v>2916</v>
      </c>
      <c r="E209" s="1">
        <v>12418</v>
      </c>
      <c r="F209" t="s">
        <v>211</v>
      </c>
      <c r="G209" t="s">
        <v>212</v>
      </c>
      <c r="H209" t="s">
        <v>213</v>
      </c>
      <c r="I209" s="1">
        <v>17063</v>
      </c>
      <c r="J209">
        <v>2</v>
      </c>
    </row>
    <row r="210" spans="1:10" x14ac:dyDescent="0.25">
      <c r="A210">
        <v>81</v>
      </c>
      <c r="B210">
        <v>81</v>
      </c>
      <c r="C210" t="s">
        <v>432</v>
      </c>
      <c r="D210" t="s">
        <v>2916</v>
      </c>
      <c r="E210" s="1">
        <v>23885</v>
      </c>
      <c r="F210" t="s">
        <v>433</v>
      </c>
      <c r="G210" t="s">
        <v>434</v>
      </c>
      <c r="H210" t="s">
        <v>435</v>
      </c>
      <c r="I210" s="1">
        <v>49033</v>
      </c>
      <c r="J210">
        <v>8</v>
      </c>
    </row>
    <row r="211" spans="1:10" x14ac:dyDescent="0.25">
      <c r="A211">
        <v>278</v>
      </c>
      <c r="B211">
        <v>278</v>
      </c>
      <c r="C211" t="s">
        <v>1395</v>
      </c>
      <c r="D211" t="s">
        <v>2916</v>
      </c>
      <c r="E211" s="1">
        <v>3812</v>
      </c>
      <c r="F211" t="s">
        <v>1396</v>
      </c>
      <c r="G211" t="s">
        <v>1397</v>
      </c>
      <c r="H211" t="s">
        <v>1398</v>
      </c>
      <c r="I211">
        <v>981</v>
      </c>
      <c r="J211">
        <v>1</v>
      </c>
    </row>
    <row r="212" spans="1:10" x14ac:dyDescent="0.25">
      <c r="A212">
        <v>565</v>
      </c>
      <c r="B212">
        <v>565</v>
      </c>
      <c r="C212" t="s">
        <v>2778</v>
      </c>
      <c r="D212" t="s">
        <v>2916</v>
      </c>
      <c r="E212" s="1">
        <v>45254</v>
      </c>
      <c r="F212" t="s">
        <v>2779</v>
      </c>
      <c r="G212" t="s">
        <v>2780</v>
      </c>
      <c r="H212" t="s">
        <v>2781</v>
      </c>
      <c r="I212">
        <v>429</v>
      </c>
      <c r="J212">
        <v>8</v>
      </c>
    </row>
    <row r="213" spans="1:10" x14ac:dyDescent="0.25">
      <c r="A213">
        <v>352</v>
      </c>
      <c r="B213">
        <v>352</v>
      </c>
      <c r="C213" t="s">
        <v>1755</v>
      </c>
      <c r="D213" t="s">
        <v>2916</v>
      </c>
      <c r="E213" s="1">
        <v>3445</v>
      </c>
      <c r="F213" t="s">
        <v>1756</v>
      </c>
      <c r="G213" t="s">
        <v>1757</v>
      </c>
      <c r="H213" t="s">
        <v>1758</v>
      </c>
      <c r="I213">
        <v>508</v>
      </c>
      <c r="J213">
        <v>3</v>
      </c>
    </row>
    <row r="214" spans="1:10" x14ac:dyDescent="0.25">
      <c r="A214">
        <v>436</v>
      </c>
      <c r="B214">
        <v>436</v>
      </c>
      <c r="C214" t="s">
        <v>2164</v>
      </c>
      <c r="D214" t="s">
        <v>2916</v>
      </c>
      <c r="E214" s="1">
        <v>2801</v>
      </c>
      <c r="F214" t="s">
        <v>2165</v>
      </c>
      <c r="G214" t="s">
        <v>2166</v>
      </c>
      <c r="H214" t="s">
        <v>2167</v>
      </c>
      <c r="I214" s="1">
        <v>5930</v>
      </c>
      <c r="J214">
        <v>3</v>
      </c>
    </row>
    <row r="215" spans="1:10" x14ac:dyDescent="0.25">
      <c r="A215">
        <v>310</v>
      </c>
      <c r="B215">
        <v>310</v>
      </c>
      <c r="C215" t="s">
        <v>1549</v>
      </c>
      <c r="D215" t="s">
        <v>2916</v>
      </c>
      <c r="E215" s="1">
        <v>10725</v>
      </c>
      <c r="F215" t="s">
        <v>1550</v>
      </c>
      <c r="G215" t="s">
        <v>1551</v>
      </c>
      <c r="H215" t="s">
        <v>1552</v>
      </c>
      <c r="I215" s="1">
        <v>3457</v>
      </c>
      <c r="J215">
        <v>1</v>
      </c>
    </row>
    <row r="216" spans="1:10" x14ac:dyDescent="0.25">
      <c r="A216">
        <v>467</v>
      </c>
      <c r="B216">
        <v>467</v>
      </c>
      <c r="C216" t="s">
        <v>2313</v>
      </c>
      <c r="D216" t="s">
        <v>2916</v>
      </c>
      <c r="E216" s="1">
        <v>7378</v>
      </c>
      <c r="F216" t="s">
        <v>2314</v>
      </c>
      <c r="G216" t="s">
        <v>2315</v>
      </c>
      <c r="H216" t="s">
        <v>2316</v>
      </c>
      <c r="I216" s="1">
        <v>7060</v>
      </c>
      <c r="J216">
        <v>4</v>
      </c>
    </row>
    <row r="217" spans="1:10" x14ac:dyDescent="0.25">
      <c r="A217">
        <v>210</v>
      </c>
      <c r="B217">
        <v>210</v>
      </c>
      <c r="C217" t="s">
        <v>1066</v>
      </c>
      <c r="D217" t="s">
        <v>2917</v>
      </c>
      <c r="E217" s="1">
        <v>5726</v>
      </c>
      <c r="F217" t="s">
        <v>1067</v>
      </c>
      <c r="G217" t="s">
        <v>1068</v>
      </c>
      <c r="H217" t="s">
        <v>1069</v>
      </c>
      <c r="I217" s="1">
        <v>2490</v>
      </c>
      <c r="J217">
        <v>2</v>
      </c>
    </row>
    <row r="218" spans="1:10" x14ac:dyDescent="0.25">
      <c r="A218">
        <v>311</v>
      </c>
      <c r="B218">
        <v>311</v>
      </c>
      <c r="C218" t="s">
        <v>1554</v>
      </c>
      <c r="D218" t="s">
        <v>2916</v>
      </c>
      <c r="E218" s="1">
        <v>3307</v>
      </c>
      <c r="F218" t="s">
        <v>1555</v>
      </c>
      <c r="G218" t="s">
        <v>1556</v>
      </c>
      <c r="H218" t="s">
        <v>1557</v>
      </c>
      <c r="I218" s="1">
        <v>3183</v>
      </c>
      <c r="J218">
        <v>1</v>
      </c>
    </row>
    <row r="219" spans="1:10" x14ac:dyDescent="0.25">
      <c r="A219">
        <v>87</v>
      </c>
      <c r="B219">
        <v>87</v>
      </c>
      <c r="C219" t="s">
        <v>462</v>
      </c>
      <c r="D219" t="s">
        <v>2916</v>
      </c>
      <c r="E219" s="1">
        <v>4332</v>
      </c>
      <c r="F219" t="s">
        <v>463</v>
      </c>
      <c r="G219" t="s">
        <v>464</v>
      </c>
      <c r="H219" t="s">
        <v>465</v>
      </c>
      <c r="I219" s="1">
        <v>58500</v>
      </c>
      <c r="J219">
        <v>2</v>
      </c>
    </row>
    <row r="220" spans="1:10" x14ac:dyDescent="0.25">
      <c r="A220">
        <v>166</v>
      </c>
      <c r="B220">
        <v>166</v>
      </c>
      <c r="C220" t="s">
        <v>848</v>
      </c>
      <c r="D220" t="s">
        <v>2916</v>
      </c>
      <c r="E220" s="1">
        <v>3101</v>
      </c>
      <c r="F220" t="s">
        <v>849</v>
      </c>
      <c r="G220" t="s">
        <v>850</v>
      </c>
      <c r="H220" t="s">
        <v>851</v>
      </c>
      <c r="I220" s="1">
        <v>7149</v>
      </c>
      <c r="J220">
        <v>2</v>
      </c>
    </row>
    <row r="221" spans="1:10" x14ac:dyDescent="0.25">
      <c r="A221">
        <v>313</v>
      </c>
      <c r="B221">
        <v>313</v>
      </c>
      <c r="C221" t="s">
        <v>1564</v>
      </c>
      <c r="D221" t="s">
        <v>2916</v>
      </c>
      <c r="E221" s="1">
        <v>6340</v>
      </c>
      <c r="F221" t="s">
        <v>1565</v>
      </c>
      <c r="G221" t="s">
        <v>1566</v>
      </c>
      <c r="J221">
        <v>1</v>
      </c>
    </row>
    <row r="222" spans="1:10" x14ac:dyDescent="0.25">
      <c r="A222">
        <v>483</v>
      </c>
      <c r="B222">
        <v>483</v>
      </c>
      <c r="C222" t="s">
        <v>2387</v>
      </c>
      <c r="D222" t="s">
        <v>2916</v>
      </c>
      <c r="E222" s="1">
        <v>15784</v>
      </c>
      <c r="F222" t="s">
        <v>2388</v>
      </c>
      <c r="G222" t="s">
        <v>2389</v>
      </c>
      <c r="H222" t="s">
        <v>2390</v>
      </c>
      <c r="I222">
        <v>163</v>
      </c>
      <c r="J222">
        <v>2</v>
      </c>
    </row>
    <row r="223" spans="1:10" x14ac:dyDescent="0.25">
      <c r="A223">
        <v>258</v>
      </c>
      <c r="B223">
        <v>258</v>
      </c>
      <c r="C223" t="s">
        <v>1299</v>
      </c>
      <c r="D223" t="s">
        <v>2916</v>
      </c>
      <c r="E223" s="1">
        <v>12492</v>
      </c>
      <c r="F223" t="s">
        <v>1300</v>
      </c>
      <c r="G223" t="s">
        <v>1301</v>
      </c>
      <c r="H223" t="s">
        <v>1302</v>
      </c>
      <c r="I223" s="1">
        <v>7644</v>
      </c>
      <c r="J223">
        <v>2</v>
      </c>
    </row>
    <row r="224" spans="1:10" x14ac:dyDescent="0.25">
      <c r="A224">
        <v>86</v>
      </c>
      <c r="B224">
        <v>86</v>
      </c>
      <c r="C224" t="s">
        <v>457</v>
      </c>
      <c r="D224" t="s">
        <v>2917</v>
      </c>
      <c r="E224" s="1">
        <v>5564</v>
      </c>
      <c r="F224" t="s">
        <v>458</v>
      </c>
      <c r="G224" t="s">
        <v>459</v>
      </c>
      <c r="H224" t="s">
        <v>460</v>
      </c>
      <c r="I224" s="1">
        <v>58277</v>
      </c>
      <c r="J224">
        <v>6</v>
      </c>
    </row>
    <row r="225" spans="1:10" x14ac:dyDescent="0.25">
      <c r="A225">
        <v>256</v>
      </c>
      <c r="B225">
        <v>256</v>
      </c>
      <c r="C225" t="s">
        <v>1289</v>
      </c>
      <c r="D225" t="s">
        <v>2916</v>
      </c>
      <c r="E225" s="1">
        <v>5349</v>
      </c>
      <c r="F225" t="s">
        <v>1290</v>
      </c>
      <c r="G225" t="s">
        <v>1291</v>
      </c>
      <c r="H225" t="s">
        <v>1292</v>
      </c>
      <c r="I225">
        <v>93</v>
      </c>
      <c r="J225">
        <v>1</v>
      </c>
    </row>
    <row r="226" spans="1:10" x14ac:dyDescent="0.25">
      <c r="A226">
        <v>152</v>
      </c>
      <c r="B226">
        <v>152</v>
      </c>
      <c r="C226" t="s">
        <v>780</v>
      </c>
      <c r="D226" t="s">
        <v>2916</v>
      </c>
      <c r="E226" s="1">
        <v>1309</v>
      </c>
      <c r="F226" t="s">
        <v>781</v>
      </c>
      <c r="G226" t="s">
        <v>782</v>
      </c>
      <c r="H226" t="s">
        <v>783</v>
      </c>
      <c r="I226" s="1">
        <v>5269</v>
      </c>
      <c r="J226">
        <v>3</v>
      </c>
    </row>
    <row r="227" spans="1:10" x14ac:dyDescent="0.25">
      <c r="A227">
        <v>279</v>
      </c>
      <c r="B227">
        <v>279</v>
      </c>
      <c r="C227" t="s">
        <v>1400</v>
      </c>
      <c r="D227" t="s">
        <v>2916</v>
      </c>
      <c r="E227" s="1">
        <v>9394</v>
      </c>
      <c r="F227" t="s">
        <v>1401</v>
      </c>
      <c r="G227" t="s">
        <v>1402</v>
      </c>
      <c r="H227" t="s">
        <v>1403</v>
      </c>
      <c r="I227" s="1">
        <v>1171</v>
      </c>
      <c r="J227">
        <v>2</v>
      </c>
    </row>
    <row r="228" spans="1:10" x14ac:dyDescent="0.25">
      <c r="A228">
        <v>473</v>
      </c>
      <c r="B228">
        <v>473</v>
      </c>
      <c r="C228" t="s">
        <v>2342</v>
      </c>
      <c r="D228" t="s">
        <v>2916</v>
      </c>
      <c r="E228" s="1">
        <v>114935</v>
      </c>
      <c r="F228" t="s">
        <v>2343</v>
      </c>
      <c r="G228" t="s">
        <v>2344</v>
      </c>
      <c r="H228" t="s">
        <v>2345</v>
      </c>
      <c r="I228">
        <v>133</v>
      </c>
      <c r="J228">
        <v>6</v>
      </c>
    </row>
    <row r="229" spans="1:10" x14ac:dyDescent="0.25">
      <c r="A229">
        <v>141</v>
      </c>
      <c r="B229">
        <v>141</v>
      </c>
      <c r="C229" t="s">
        <v>727</v>
      </c>
      <c r="D229" t="s">
        <v>2917</v>
      </c>
      <c r="E229" s="1">
        <v>35251</v>
      </c>
      <c r="F229" t="s">
        <v>728</v>
      </c>
      <c r="G229" t="s">
        <v>729</v>
      </c>
      <c r="H229" t="s">
        <v>730</v>
      </c>
      <c r="I229" s="1">
        <v>1852</v>
      </c>
      <c r="J229">
        <v>1</v>
      </c>
    </row>
    <row r="230" spans="1:10" x14ac:dyDescent="0.25">
      <c r="A230">
        <v>385</v>
      </c>
      <c r="B230">
        <v>385</v>
      </c>
      <c r="C230" t="s">
        <v>1917</v>
      </c>
      <c r="D230" t="s">
        <v>2916</v>
      </c>
      <c r="E230" s="1">
        <v>18782</v>
      </c>
      <c r="F230" t="s">
        <v>1918</v>
      </c>
      <c r="G230" t="s">
        <v>1919</v>
      </c>
      <c r="H230" t="s">
        <v>1920</v>
      </c>
      <c r="I230" s="1">
        <v>1373</v>
      </c>
      <c r="J230">
        <v>3</v>
      </c>
    </row>
    <row r="231" spans="1:10" x14ac:dyDescent="0.25">
      <c r="A231">
        <v>500</v>
      </c>
      <c r="B231">
        <v>500</v>
      </c>
      <c r="C231" t="s">
        <v>2465</v>
      </c>
      <c r="D231" t="s">
        <v>2916</v>
      </c>
      <c r="E231" s="1">
        <v>19255</v>
      </c>
      <c r="F231" t="s">
        <v>2466</v>
      </c>
      <c r="G231" t="s">
        <v>2467</v>
      </c>
      <c r="H231" t="s">
        <v>2468</v>
      </c>
      <c r="I231" s="1">
        <v>4659</v>
      </c>
      <c r="J231">
        <v>5</v>
      </c>
    </row>
    <row r="232" spans="1:10" x14ac:dyDescent="0.25">
      <c r="A232">
        <v>285</v>
      </c>
      <c r="B232">
        <v>285</v>
      </c>
      <c r="C232" t="s">
        <v>1429</v>
      </c>
      <c r="D232" t="s">
        <v>2917</v>
      </c>
      <c r="E232" s="1">
        <v>16052</v>
      </c>
      <c r="F232" t="s">
        <v>1430</v>
      </c>
      <c r="G232" t="s">
        <v>1431</v>
      </c>
      <c r="H232" t="s">
        <v>1432</v>
      </c>
      <c r="I232" s="1">
        <v>4365</v>
      </c>
      <c r="J232">
        <v>6</v>
      </c>
    </row>
    <row r="233" spans="1:10" x14ac:dyDescent="0.25">
      <c r="A233">
        <v>489</v>
      </c>
      <c r="B233">
        <v>489</v>
      </c>
      <c r="C233" t="s">
        <v>2414</v>
      </c>
      <c r="D233" t="s">
        <v>2917</v>
      </c>
      <c r="E233" s="1">
        <v>15645</v>
      </c>
      <c r="F233" t="s">
        <v>2415</v>
      </c>
      <c r="G233" t="s">
        <v>2416</v>
      </c>
      <c r="H233" t="s">
        <v>2417</v>
      </c>
      <c r="I233">
        <v>111</v>
      </c>
      <c r="J233">
        <v>1</v>
      </c>
    </row>
    <row r="234" spans="1:10" x14ac:dyDescent="0.25">
      <c r="A234">
        <v>179</v>
      </c>
      <c r="B234">
        <v>179</v>
      </c>
      <c r="C234" t="s">
        <v>913</v>
      </c>
      <c r="D234" t="s">
        <v>2917</v>
      </c>
      <c r="E234" s="1">
        <v>2709</v>
      </c>
      <c r="F234" t="s">
        <v>914</v>
      </c>
      <c r="G234" t="s">
        <v>915</v>
      </c>
      <c r="H234" t="s">
        <v>916</v>
      </c>
      <c r="I234">
        <v>111</v>
      </c>
      <c r="J234">
        <v>1</v>
      </c>
    </row>
    <row r="235" spans="1:10" x14ac:dyDescent="0.25">
      <c r="A235">
        <v>72</v>
      </c>
      <c r="B235">
        <v>72</v>
      </c>
      <c r="C235" t="s">
        <v>387</v>
      </c>
      <c r="D235" t="s">
        <v>2916</v>
      </c>
      <c r="E235" s="1">
        <v>268465</v>
      </c>
      <c r="F235" t="s">
        <v>388</v>
      </c>
      <c r="G235" t="s">
        <v>389</v>
      </c>
      <c r="H235" t="s">
        <v>390</v>
      </c>
      <c r="I235" s="1">
        <v>34408</v>
      </c>
      <c r="J235">
        <v>8</v>
      </c>
    </row>
    <row r="236" spans="1:10" x14ac:dyDescent="0.25">
      <c r="A236">
        <v>204</v>
      </c>
      <c r="B236">
        <v>204</v>
      </c>
      <c r="C236" t="s">
        <v>1036</v>
      </c>
      <c r="D236" t="s">
        <v>2916</v>
      </c>
      <c r="E236" s="1">
        <v>2574</v>
      </c>
      <c r="F236" t="s">
        <v>1037</v>
      </c>
      <c r="G236" t="s">
        <v>1038</v>
      </c>
      <c r="H236" t="s">
        <v>1039</v>
      </c>
      <c r="I236" s="1">
        <v>4366</v>
      </c>
      <c r="J236">
        <v>3</v>
      </c>
    </row>
    <row r="237" spans="1:10" x14ac:dyDescent="0.25">
      <c r="A237">
        <v>498</v>
      </c>
      <c r="B237">
        <v>498</v>
      </c>
      <c r="C237" t="s">
        <v>2456</v>
      </c>
      <c r="D237" t="s">
        <v>2916</v>
      </c>
      <c r="E237" s="1">
        <v>4526</v>
      </c>
      <c r="F237" t="s">
        <v>2457</v>
      </c>
      <c r="G237" t="s">
        <v>2458</v>
      </c>
      <c r="H237" t="s">
        <v>2459</v>
      </c>
      <c r="I237" s="1">
        <v>7947</v>
      </c>
      <c r="J237">
        <v>1</v>
      </c>
    </row>
    <row r="238" spans="1:10" x14ac:dyDescent="0.25">
      <c r="A238">
        <v>306</v>
      </c>
      <c r="B238">
        <v>306</v>
      </c>
      <c r="C238" t="s">
        <v>1530</v>
      </c>
      <c r="D238" t="s">
        <v>2917</v>
      </c>
      <c r="E238" s="1">
        <v>4632</v>
      </c>
      <c r="F238" t="s">
        <v>1531</v>
      </c>
      <c r="G238" t="s">
        <v>1532</v>
      </c>
      <c r="H238" t="s">
        <v>1533</v>
      </c>
      <c r="I238" s="1">
        <v>2946</v>
      </c>
      <c r="J238">
        <v>2</v>
      </c>
    </row>
    <row r="239" spans="1:10" x14ac:dyDescent="0.25">
      <c r="A239">
        <v>134</v>
      </c>
      <c r="B239">
        <v>134</v>
      </c>
      <c r="C239" t="s">
        <v>693</v>
      </c>
      <c r="D239" t="s">
        <v>2916</v>
      </c>
      <c r="E239" s="1">
        <v>41492</v>
      </c>
      <c r="F239" t="s">
        <v>694</v>
      </c>
      <c r="G239" t="s">
        <v>695</v>
      </c>
      <c r="H239" t="s">
        <v>696</v>
      </c>
      <c r="I239" s="1">
        <v>5329</v>
      </c>
      <c r="J239">
        <v>1</v>
      </c>
    </row>
    <row r="240" spans="1:10" x14ac:dyDescent="0.25">
      <c r="A240">
        <v>528</v>
      </c>
      <c r="B240">
        <v>528</v>
      </c>
      <c r="C240" t="s">
        <v>2600</v>
      </c>
      <c r="D240" t="s">
        <v>2917</v>
      </c>
      <c r="E240" s="1">
        <v>4833</v>
      </c>
      <c r="F240" t="s">
        <v>2601</v>
      </c>
      <c r="G240" t="s">
        <v>2602</v>
      </c>
      <c r="H240" t="s">
        <v>2603</v>
      </c>
      <c r="I240" s="1">
        <v>2020</v>
      </c>
      <c r="J240">
        <v>2</v>
      </c>
    </row>
    <row r="241" spans="1:10" x14ac:dyDescent="0.25">
      <c r="A241">
        <v>531</v>
      </c>
      <c r="B241">
        <v>531</v>
      </c>
      <c r="C241" t="s">
        <v>2615</v>
      </c>
      <c r="D241" t="s">
        <v>2916</v>
      </c>
      <c r="E241" s="1">
        <v>105625</v>
      </c>
      <c r="F241" t="s">
        <v>2616</v>
      </c>
      <c r="G241" t="s">
        <v>2617</v>
      </c>
      <c r="H241" t="s">
        <v>2618</v>
      </c>
      <c r="I241" s="1">
        <v>6908</v>
      </c>
      <c r="J241">
        <v>5</v>
      </c>
    </row>
    <row r="242" spans="1:10" x14ac:dyDescent="0.25">
      <c r="A242">
        <v>552</v>
      </c>
      <c r="B242">
        <v>552</v>
      </c>
      <c r="C242" t="s">
        <v>2716</v>
      </c>
      <c r="D242" t="s">
        <v>2916</v>
      </c>
      <c r="E242" s="1">
        <v>1005</v>
      </c>
      <c r="F242" t="s">
        <v>2717</v>
      </c>
      <c r="G242" t="s">
        <v>2718</v>
      </c>
      <c r="H242" t="s">
        <v>2719</v>
      </c>
      <c r="I242">
        <v>223</v>
      </c>
      <c r="J242">
        <v>1</v>
      </c>
    </row>
    <row r="243" spans="1:10" x14ac:dyDescent="0.25">
      <c r="A243">
        <v>214</v>
      </c>
      <c r="B243">
        <v>214</v>
      </c>
      <c r="C243" t="s">
        <v>1084</v>
      </c>
      <c r="D243" t="s">
        <v>2916</v>
      </c>
      <c r="E243" s="1">
        <v>16977</v>
      </c>
      <c r="F243" t="s">
        <v>1085</v>
      </c>
      <c r="G243" t="s">
        <v>1086</v>
      </c>
      <c r="H243" t="s">
        <v>1087</v>
      </c>
      <c r="I243" s="1">
        <v>3886</v>
      </c>
      <c r="J243">
        <v>2</v>
      </c>
    </row>
    <row r="244" spans="1:10" x14ac:dyDescent="0.25">
      <c r="A244">
        <v>4</v>
      </c>
      <c r="B244">
        <v>4</v>
      </c>
      <c r="C244" t="s">
        <v>38</v>
      </c>
      <c r="D244" t="s">
        <v>2916</v>
      </c>
      <c r="E244" s="1">
        <v>2696</v>
      </c>
      <c r="F244" t="s">
        <v>39</v>
      </c>
      <c r="G244" t="s">
        <v>40</v>
      </c>
      <c r="H244" t="s">
        <v>41</v>
      </c>
      <c r="I244" s="1">
        <v>10402</v>
      </c>
      <c r="J244">
        <v>1</v>
      </c>
    </row>
    <row r="245" spans="1:10" x14ac:dyDescent="0.25">
      <c r="A245">
        <v>224</v>
      </c>
      <c r="B245">
        <v>224</v>
      </c>
      <c r="C245" t="s">
        <v>1134</v>
      </c>
      <c r="D245" t="s">
        <v>2916</v>
      </c>
      <c r="E245" s="1">
        <v>1158</v>
      </c>
      <c r="F245" t="s">
        <v>1135</v>
      </c>
      <c r="G245" t="s">
        <v>1136</v>
      </c>
      <c r="H245" t="s">
        <v>1137</v>
      </c>
      <c r="I245">
        <v>492</v>
      </c>
      <c r="J245">
        <v>2</v>
      </c>
    </row>
    <row r="246" spans="1:10" x14ac:dyDescent="0.25">
      <c r="A246">
        <v>448</v>
      </c>
      <c r="B246">
        <v>448</v>
      </c>
      <c r="C246" t="s">
        <v>2221</v>
      </c>
      <c r="D246" t="s">
        <v>2917</v>
      </c>
      <c r="E246" s="1">
        <v>5326</v>
      </c>
      <c r="F246" t="s">
        <v>2222</v>
      </c>
      <c r="G246" t="s">
        <v>2223</v>
      </c>
      <c r="H246" t="s">
        <v>2224</v>
      </c>
      <c r="I246">
        <v>151</v>
      </c>
      <c r="J246">
        <v>1</v>
      </c>
    </row>
    <row r="247" spans="1:10" x14ac:dyDescent="0.25">
      <c r="A247">
        <v>522</v>
      </c>
      <c r="B247">
        <v>522</v>
      </c>
      <c r="C247" t="s">
        <v>2570</v>
      </c>
      <c r="D247" t="s">
        <v>2918</v>
      </c>
      <c r="E247" s="1">
        <v>1411</v>
      </c>
      <c r="F247" t="s">
        <v>2571</v>
      </c>
      <c r="G247" t="s">
        <v>2572</v>
      </c>
      <c r="H247" t="s">
        <v>2573</v>
      </c>
      <c r="I247">
        <v>297</v>
      </c>
      <c r="J247">
        <v>0</v>
      </c>
    </row>
    <row r="248" spans="1:10" x14ac:dyDescent="0.25">
      <c r="A248">
        <v>201</v>
      </c>
      <c r="B248">
        <v>201</v>
      </c>
      <c r="C248" t="s">
        <v>1022</v>
      </c>
      <c r="D248" t="s">
        <v>2916</v>
      </c>
      <c r="E248" s="1">
        <v>7995</v>
      </c>
      <c r="F248" t="s">
        <v>1023</v>
      </c>
      <c r="G248" t="s">
        <v>1024</v>
      </c>
      <c r="H248" t="s">
        <v>1025</v>
      </c>
      <c r="I248">
        <v>323</v>
      </c>
      <c r="J248">
        <v>3</v>
      </c>
    </row>
    <row r="249" spans="1:10" x14ac:dyDescent="0.25">
      <c r="A249">
        <v>568</v>
      </c>
      <c r="B249">
        <v>568</v>
      </c>
      <c r="C249" t="s">
        <v>2793</v>
      </c>
      <c r="D249" t="s">
        <v>2916</v>
      </c>
      <c r="E249" s="1">
        <v>2226</v>
      </c>
      <c r="F249" t="s">
        <v>2794</v>
      </c>
      <c r="G249" t="s">
        <v>2795</v>
      </c>
      <c r="H249" t="s">
        <v>2796</v>
      </c>
      <c r="I249" s="1">
        <v>3796</v>
      </c>
      <c r="J249">
        <v>1</v>
      </c>
    </row>
    <row r="250" spans="1:10" x14ac:dyDescent="0.25">
      <c r="A250">
        <v>508</v>
      </c>
      <c r="B250">
        <v>508</v>
      </c>
      <c r="C250" t="s">
        <v>2502</v>
      </c>
      <c r="D250" t="s">
        <v>2916</v>
      </c>
      <c r="E250" s="1">
        <v>40024</v>
      </c>
      <c r="F250" t="s">
        <v>2503</v>
      </c>
      <c r="G250" t="s">
        <v>2504</v>
      </c>
      <c r="H250" t="s">
        <v>2505</v>
      </c>
      <c r="I250" s="1">
        <v>8980</v>
      </c>
      <c r="J250">
        <v>6</v>
      </c>
    </row>
    <row r="251" spans="1:10" x14ac:dyDescent="0.25">
      <c r="A251">
        <v>357</v>
      </c>
      <c r="B251">
        <v>357</v>
      </c>
      <c r="C251" t="s">
        <v>1779</v>
      </c>
      <c r="D251" t="s">
        <v>2917</v>
      </c>
      <c r="E251" s="1">
        <v>3419</v>
      </c>
      <c r="F251" t="s">
        <v>1780</v>
      </c>
      <c r="G251" t="s">
        <v>1781</v>
      </c>
      <c r="H251" t="s">
        <v>1782</v>
      </c>
      <c r="I251">
        <v>401</v>
      </c>
      <c r="J251">
        <v>3</v>
      </c>
    </row>
    <row r="252" spans="1:10" x14ac:dyDescent="0.25">
      <c r="A252">
        <v>524</v>
      </c>
      <c r="B252">
        <v>524</v>
      </c>
      <c r="C252" t="s">
        <v>2580</v>
      </c>
      <c r="D252" t="s">
        <v>2916</v>
      </c>
      <c r="E252" s="1">
        <v>28900</v>
      </c>
      <c r="F252" t="s">
        <v>2581</v>
      </c>
      <c r="G252" t="s">
        <v>2582</v>
      </c>
      <c r="H252" t="s">
        <v>2583</v>
      </c>
      <c r="I252">
        <v>519</v>
      </c>
      <c r="J252">
        <v>3</v>
      </c>
    </row>
    <row r="253" spans="1:10" x14ac:dyDescent="0.25">
      <c r="A253">
        <v>26</v>
      </c>
      <c r="B253">
        <v>26</v>
      </c>
      <c r="C253" t="s">
        <v>154</v>
      </c>
      <c r="D253" t="s">
        <v>2916</v>
      </c>
      <c r="E253" s="1">
        <v>2658</v>
      </c>
      <c r="F253" t="s">
        <v>155</v>
      </c>
      <c r="G253" t="s">
        <v>156</v>
      </c>
      <c r="H253" t="s">
        <v>157</v>
      </c>
      <c r="I253" s="1">
        <v>13922</v>
      </c>
      <c r="J253">
        <v>6</v>
      </c>
    </row>
    <row r="254" spans="1:10" x14ac:dyDescent="0.25">
      <c r="A254">
        <v>31</v>
      </c>
      <c r="B254">
        <v>31</v>
      </c>
      <c r="C254" t="s">
        <v>180</v>
      </c>
      <c r="D254" t="s">
        <v>2916</v>
      </c>
      <c r="E254" s="1">
        <v>17615</v>
      </c>
      <c r="F254" t="s">
        <v>181</v>
      </c>
      <c r="G254" t="s">
        <v>182</v>
      </c>
      <c r="H254" t="s">
        <v>183</v>
      </c>
      <c r="I254" s="1">
        <v>15524</v>
      </c>
      <c r="J254">
        <v>4</v>
      </c>
    </row>
    <row r="255" spans="1:10" x14ac:dyDescent="0.25">
      <c r="A255">
        <v>422</v>
      </c>
      <c r="B255">
        <v>422</v>
      </c>
      <c r="C255" t="s">
        <v>2097</v>
      </c>
      <c r="D255" t="s">
        <v>2916</v>
      </c>
      <c r="E255">
        <v>246</v>
      </c>
      <c r="F255" t="s">
        <v>2098</v>
      </c>
      <c r="G255" t="s">
        <v>2099</v>
      </c>
      <c r="H255" t="s">
        <v>2100</v>
      </c>
      <c r="I255" s="1">
        <v>2824</v>
      </c>
      <c r="J255">
        <v>2</v>
      </c>
    </row>
    <row r="256" spans="1:10" x14ac:dyDescent="0.25">
      <c r="A256">
        <v>314</v>
      </c>
      <c r="B256">
        <v>314</v>
      </c>
      <c r="C256" t="s">
        <v>1568</v>
      </c>
      <c r="D256" t="s">
        <v>2916</v>
      </c>
      <c r="E256" s="1">
        <v>15672</v>
      </c>
      <c r="F256" t="s">
        <v>1569</v>
      </c>
      <c r="G256" t="s">
        <v>1570</v>
      </c>
      <c r="H256" t="s">
        <v>1571</v>
      </c>
      <c r="I256">
        <v>349</v>
      </c>
      <c r="J256">
        <v>2</v>
      </c>
    </row>
    <row r="257" spans="1:10" x14ac:dyDescent="0.25">
      <c r="A257">
        <v>365</v>
      </c>
      <c r="B257">
        <v>365</v>
      </c>
      <c r="C257" t="s">
        <v>1819</v>
      </c>
      <c r="D257" t="s">
        <v>2916</v>
      </c>
      <c r="E257" s="1">
        <v>157383</v>
      </c>
      <c r="F257" t="s">
        <v>1820</v>
      </c>
      <c r="G257" t="s">
        <v>1821</v>
      </c>
      <c r="H257" t="s">
        <v>1822</v>
      </c>
      <c r="I257" s="1">
        <v>1414</v>
      </c>
      <c r="J257">
        <v>9</v>
      </c>
    </row>
    <row r="258" spans="1:10" x14ac:dyDescent="0.25">
      <c r="A258">
        <v>303</v>
      </c>
      <c r="B258">
        <v>303</v>
      </c>
      <c r="C258" t="s">
        <v>1515</v>
      </c>
      <c r="D258" t="s">
        <v>2916</v>
      </c>
      <c r="E258" s="1">
        <v>1636</v>
      </c>
      <c r="F258" t="s">
        <v>1516</v>
      </c>
      <c r="G258" t="s">
        <v>1517</v>
      </c>
      <c r="H258" t="s">
        <v>1518</v>
      </c>
      <c r="I258" s="1">
        <v>3330</v>
      </c>
      <c r="J258">
        <v>2</v>
      </c>
    </row>
    <row r="259" spans="1:10" x14ac:dyDescent="0.25">
      <c r="A259">
        <v>149</v>
      </c>
      <c r="B259">
        <v>149</v>
      </c>
      <c r="C259" t="s">
        <v>765</v>
      </c>
      <c r="D259" t="s">
        <v>2917</v>
      </c>
      <c r="E259" s="1">
        <v>12057</v>
      </c>
      <c r="F259" t="s">
        <v>766</v>
      </c>
      <c r="G259" t="s">
        <v>767</v>
      </c>
      <c r="H259" t="s">
        <v>768</v>
      </c>
      <c r="I259">
        <v>613</v>
      </c>
      <c r="J259">
        <v>2</v>
      </c>
    </row>
    <row r="260" spans="1:10" x14ac:dyDescent="0.25">
      <c r="A260">
        <v>218</v>
      </c>
      <c r="B260">
        <v>218</v>
      </c>
      <c r="C260" t="s">
        <v>1104</v>
      </c>
      <c r="D260" t="s">
        <v>2916</v>
      </c>
      <c r="E260" s="1">
        <v>13242</v>
      </c>
      <c r="F260" t="s">
        <v>1105</v>
      </c>
      <c r="G260" t="s">
        <v>1106</v>
      </c>
      <c r="H260" t="s">
        <v>1107</v>
      </c>
      <c r="I260" s="1">
        <v>1358</v>
      </c>
      <c r="J260">
        <v>1</v>
      </c>
    </row>
    <row r="261" spans="1:10" x14ac:dyDescent="0.25">
      <c r="A261">
        <v>298</v>
      </c>
      <c r="B261">
        <v>298</v>
      </c>
      <c r="C261" t="s">
        <v>1490</v>
      </c>
      <c r="D261" t="s">
        <v>2916</v>
      </c>
      <c r="E261">
        <v>401</v>
      </c>
      <c r="F261" t="s">
        <v>1491</v>
      </c>
      <c r="G261" t="s">
        <v>1492</v>
      </c>
      <c r="H261" t="s">
        <v>1493</v>
      </c>
      <c r="I261" s="1">
        <v>1696</v>
      </c>
      <c r="J261">
        <v>2</v>
      </c>
    </row>
    <row r="262" spans="1:10" x14ac:dyDescent="0.25">
      <c r="A262">
        <v>529</v>
      </c>
      <c r="B262">
        <v>529</v>
      </c>
      <c r="C262" t="s">
        <v>2605</v>
      </c>
      <c r="D262" t="s">
        <v>2916</v>
      </c>
      <c r="E262" s="1">
        <v>1388</v>
      </c>
      <c r="F262" t="s">
        <v>2606</v>
      </c>
      <c r="G262" t="s">
        <v>2607</v>
      </c>
      <c r="H262" t="s">
        <v>2608</v>
      </c>
      <c r="I262">
        <v>63</v>
      </c>
      <c r="J262">
        <v>4</v>
      </c>
    </row>
    <row r="263" spans="1:10" x14ac:dyDescent="0.25">
      <c r="A263">
        <v>331</v>
      </c>
      <c r="B263">
        <v>331</v>
      </c>
      <c r="C263" t="s">
        <v>1652</v>
      </c>
      <c r="D263" t="s">
        <v>2916</v>
      </c>
      <c r="E263" s="1">
        <v>2042</v>
      </c>
      <c r="F263" t="s">
        <v>1653</v>
      </c>
      <c r="G263" t="s">
        <v>1654</v>
      </c>
      <c r="H263" t="s">
        <v>1655</v>
      </c>
      <c r="I263" s="1">
        <v>1799</v>
      </c>
      <c r="J263">
        <v>2</v>
      </c>
    </row>
    <row r="264" spans="1:10" x14ac:dyDescent="0.25">
      <c r="A264">
        <v>183</v>
      </c>
      <c r="B264">
        <v>183</v>
      </c>
      <c r="C264" t="s">
        <v>933</v>
      </c>
      <c r="D264" t="s">
        <v>2916</v>
      </c>
      <c r="E264" s="1">
        <v>5559</v>
      </c>
      <c r="F264" t="s">
        <v>934</v>
      </c>
      <c r="G264" t="s">
        <v>935</v>
      </c>
      <c r="H264" t="s">
        <v>936</v>
      </c>
      <c r="I264">
        <v>133</v>
      </c>
      <c r="J264">
        <v>2</v>
      </c>
    </row>
    <row r="265" spans="1:10" x14ac:dyDescent="0.25">
      <c r="A265">
        <v>43</v>
      </c>
      <c r="B265">
        <v>43</v>
      </c>
      <c r="C265" t="s">
        <v>242</v>
      </c>
      <c r="D265" t="s">
        <v>2916</v>
      </c>
      <c r="E265" s="1">
        <v>1018</v>
      </c>
      <c r="F265" t="s">
        <v>243</v>
      </c>
      <c r="G265" t="s">
        <v>244</v>
      </c>
      <c r="H265" t="s">
        <v>245</v>
      </c>
      <c r="I265" s="1">
        <v>19011</v>
      </c>
      <c r="J265">
        <v>1</v>
      </c>
    </row>
    <row r="266" spans="1:10" x14ac:dyDescent="0.25">
      <c r="A266">
        <v>393</v>
      </c>
      <c r="B266">
        <v>393</v>
      </c>
      <c r="C266" t="s">
        <v>1955</v>
      </c>
      <c r="D266" t="s">
        <v>2916</v>
      </c>
      <c r="E266" s="1">
        <v>4568</v>
      </c>
      <c r="F266" t="s">
        <v>1956</v>
      </c>
      <c r="G266" t="s">
        <v>1957</v>
      </c>
      <c r="H266" t="s">
        <v>1958</v>
      </c>
      <c r="I266" s="1">
        <v>1432</v>
      </c>
      <c r="J266">
        <v>3</v>
      </c>
    </row>
    <row r="267" spans="1:10" x14ac:dyDescent="0.25">
      <c r="A267">
        <v>450</v>
      </c>
      <c r="B267">
        <v>450</v>
      </c>
      <c r="C267" t="s">
        <v>2231</v>
      </c>
      <c r="D267" t="s">
        <v>2917</v>
      </c>
      <c r="E267" s="1">
        <v>1881</v>
      </c>
      <c r="F267" t="s">
        <v>2232</v>
      </c>
      <c r="G267" t="s">
        <v>2233</v>
      </c>
      <c r="H267" t="s">
        <v>2234</v>
      </c>
      <c r="I267" s="1">
        <v>1522</v>
      </c>
      <c r="J267">
        <v>1</v>
      </c>
    </row>
    <row r="268" spans="1:10" x14ac:dyDescent="0.25">
      <c r="A268">
        <v>8</v>
      </c>
      <c r="B268">
        <v>8</v>
      </c>
      <c r="C268" t="s">
        <v>61</v>
      </c>
      <c r="D268" t="s">
        <v>2916</v>
      </c>
      <c r="E268" s="1">
        <v>2383</v>
      </c>
      <c r="F268" t="s">
        <v>62</v>
      </c>
      <c r="G268" t="s">
        <v>63</v>
      </c>
      <c r="H268" t="s">
        <v>64</v>
      </c>
      <c r="I268" s="1">
        <v>10857</v>
      </c>
      <c r="J268">
        <v>2</v>
      </c>
    </row>
    <row r="269" spans="1:10" x14ac:dyDescent="0.25">
      <c r="A269">
        <v>390</v>
      </c>
      <c r="B269">
        <v>390</v>
      </c>
      <c r="C269" t="s">
        <v>1941</v>
      </c>
      <c r="D269" t="s">
        <v>2916</v>
      </c>
      <c r="E269" s="1">
        <v>18415</v>
      </c>
      <c r="F269" t="s">
        <v>1942</v>
      </c>
      <c r="G269" t="s">
        <v>1943</v>
      </c>
      <c r="H269" t="s">
        <v>1944</v>
      </c>
      <c r="I269" s="1">
        <v>3862</v>
      </c>
      <c r="J269">
        <v>2</v>
      </c>
    </row>
    <row r="270" spans="1:10" x14ac:dyDescent="0.25">
      <c r="A270">
        <v>373</v>
      </c>
      <c r="B270">
        <v>373</v>
      </c>
      <c r="C270" t="s">
        <v>1858</v>
      </c>
      <c r="D270" t="s">
        <v>2917</v>
      </c>
      <c r="E270" s="1">
        <v>3373</v>
      </c>
      <c r="F270" t="s">
        <v>1859</v>
      </c>
      <c r="G270" t="s">
        <v>1860</v>
      </c>
      <c r="H270" t="s">
        <v>1861</v>
      </c>
      <c r="I270">
        <v>752</v>
      </c>
      <c r="J270">
        <v>2</v>
      </c>
    </row>
    <row r="271" spans="1:10" x14ac:dyDescent="0.25">
      <c r="A271">
        <v>574</v>
      </c>
      <c r="B271">
        <v>574</v>
      </c>
      <c r="C271" t="s">
        <v>2820</v>
      </c>
      <c r="D271" t="s">
        <v>2916</v>
      </c>
      <c r="E271" s="1">
        <v>22764</v>
      </c>
      <c r="F271" t="s">
        <v>2821</v>
      </c>
      <c r="G271" t="s">
        <v>2822</v>
      </c>
      <c r="H271" t="s">
        <v>2823</v>
      </c>
      <c r="I271" s="1">
        <v>1719</v>
      </c>
      <c r="J271">
        <v>3</v>
      </c>
    </row>
    <row r="272" spans="1:10" x14ac:dyDescent="0.25">
      <c r="A272">
        <v>413</v>
      </c>
      <c r="B272">
        <v>413</v>
      </c>
      <c r="C272" t="s">
        <v>2054</v>
      </c>
      <c r="D272" t="s">
        <v>2916</v>
      </c>
      <c r="E272" s="1">
        <v>39832</v>
      </c>
      <c r="F272" t="s">
        <v>2055</v>
      </c>
      <c r="G272" t="s">
        <v>2056</v>
      </c>
      <c r="H272" t="s">
        <v>2057</v>
      </c>
      <c r="I272">
        <v>727</v>
      </c>
      <c r="J272">
        <v>8</v>
      </c>
    </row>
    <row r="273" spans="1:10" x14ac:dyDescent="0.25">
      <c r="A273">
        <v>432</v>
      </c>
      <c r="B273">
        <v>432</v>
      </c>
      <c r="C273" t="s">
        <v>2145</v>
      </c>
      <c r="D273" t="s">
        <v>2916</v>
      </c>
      <c r="E273" s="1">
        <v>111914</v>
      </c>
      <c r="F273" t="s">
        <v>2146</v>
      </c>
      <c r="G273" t="s">
        <v>2147</v>
      </c>
      <c r="H273" t="s">
        <v>2148</v>
      </c>
      <c r="I273">
        <v>429</v>
      </c>
      <c r="J273">
        <v>6</v>
      </c>
    </row>
    <row r="274" spans="1:10" x14ac:dyDescent="0.25">
      <c r="A274">
        <v>182</v>
      </c>
      <c r="B274">
        <v>182</v>
      </c>
      <c r="C274" t="s">
        <v>928</v>
      </c>
      <c r="D274" t="s">
        <v>2916</v>
      </c>
      <c r="E274" s="1">
        <v>128558</v>
      </c>
      <c r="F274" t="s">
        <v>929</v>
      </c>
      <c r="G274" t="s">
        <v>930</v>
      </c>
      <c r="H274" t="s">
        <v>931</v>
      </c>
      <c r="I274">
        <v>893</v>
      </c>
      <c r="J274">
        <v>6</v>
      </c>
    </row>
    <row r="275" spans="1:10" x14ac:dyDescent="0.25">
      <c r="A275">
        <v>445</v>
      </c>
      <c r="B275">
        <v>445</v>
      </c>
      <c r="C275" t="s">
        <v>2206</v>
      </c>
      <c r="D275" t="s">
        <v>2917</v>
      </c>
      <c r="E275" s="1">
        <v>16428</v>
      </c>
      <c r="F275" t="s">
        <v>2207</v>
      </c>
      <c r="G275" t="s">
        <v>2208</v>
      </c>
      <c r="H275" t="s">
        <v>2209</v>
      </c>
      <c r="I275">
        <v>345</v>
      </c>
      <c r="J275">
        <v>2</v>
      </c>
    </row>
    <row r="276" spans="1:10" x14ac:dyDescent="0.25">
      <c r="A276">
        <v>77</v>
      </c>
      <c r="B276">
        <v>77</v>
      </c>
      <c r="C276" t="s">
        <v>412</v>
      </c>
      <c r="D276" t="s">
        <v>2916</v>
      </c>
      <c r="E276" s="1">
        <v>7276</v>
      </c>
      <c r="F276" t="s">
        <v>413</v>
      </c>
      <c r="G276" t="s">
        <v>414</v>
      </c>
      <c r="H276" t="s">
        <v>415</v>
      </c>
      <c r="I276" s="1">
        <v>39925</v>
      </c>
      <c r="J276">
        <v>3</v>
      </c>
    </row>
    <row r="277" spans="1:10" x14ac:dyDescent="0.25">
      <c r="A277">
        <v>6</v>
      </c>
      <c r="B277">
        <v>6</v>
      </c>
      <c r="C277" t="s">
        <v>51</v>
      </c>
      <c r="D277" t="s">
        <v>2916</v>
      </c>
      <c r="E277" s="1">
        <v>135324</v>
      </c>
      <c r="F277" t="s">
        <v>52</v>
      </c>
      <c r="G277" t="s">
        <v>53</v>
      </c>
      <c r="H277" t="s">
        <v>54</v>
      </c>
      <c r="I277" s="1">
        <v>10748</v>
      </c>
      <c r="J277">
        <v>9</v>
      </c>
    </row>
    <row r="278" spans="1:10" x14ac:dyDescent="0.25">
      <c r="A278">
        <v>519</v>
      </c>
      <c r="B278">
        <v>519</v>
      </c>
      <c r="C278" t="s">
        <v>2556</v>
      </c>
      <c r="D278" t="s">
        <v>2917</v>
      </c>
      <c r="E278" s="1">
        <v>1516</v>
      </c>
      <c r="F278" t="s">
        <v>2557</v>
      </c>
      <c r="G278" t="s">
        <v>2558</v>
      </c>
      <c r="H278" t="s">
        <v>2559</v>
      </c>
      <c r="I278">
        <v>301</v>
      </c>
      <c r="J278">
        <v>2</v>
      </c>
    </row>
    <row r="279" spans="1:10" x14ac:dyDescent="0.25">
      <c r="A279">
        <v>295</v>
      </c>
      <c r="B279">
        <v>295</v>
      </c>
      <c r="C279" t="s">
        <v>1476</v>
      </c>
      <c r="D279" t="s">
        <v>2916</v>
      </c>
      <c r="E279" s="1">
        <v>11276</v>
      </c>
      <c r="F279" t="s">
        <v>1477</v>
      </c>
      <c r="G279" t="s">
        <v>1478</v>
      </c>
      <c r="H279" t="s">
        <v>1479</v>
      </c>
      <c r="I279">
        <v>659</v>
      </c>
      <c r="J279">
        <v>4</v>
      </c>
    </row>
    <row r="280" spans="1:10" x14ac:dyDescent="0.25">
      <c r="A280">
        <v>394</v>
      </c>
      <c r="B280">
        <v>394</v>
      </c>
      <c r="C280" t="s">
        <v>1960</v>
      </c>
      <c r="D280" t="s">
        <v>2916</v>
      </c>
      <c r="E280" s="1">
        <v>7797</v>
      </c>
      <c r="F280" t="s">
        <v>1961</v>
      </c>
      <c r="G280" t="s">
        <v>1962</v>
      </c>
      <c r="H280" t="s">
        <v>1963</v>
      </c>
      <c r="I280" s="1">
        <v>7362</v>
      </c>
      <c r="J280">
        <v>2</v>
      </c>
    </row>
    <row r="281" spans="1:10" x14ac:dyDescent="0.25">
      <c r="A281">
        <v>506</v>
      </c>
      <c r="B281">
        <v>506</v>
      </c>
      <c r="C281" t="s">
        <v>2492</v>
      </c>
      <c r="D281" t="s">
        <v>2916</v>
      </c>
      <c r="E281" s="1">
        <v>7964</v>
      </c>
      <c r="F281" t="s">
        <v>2493</v>
      </c>
      <c r="G281" t="s">
        <v>2494</v>
      </c>
      <c r="H281" t="s">
        <v>2495</v>
      </c>
      <c r="I281" s="1">
        <v>7620</v>
      </c>
      <c r="J281">
        <v>2</v>
      </c>
    </row>
    <row r="282" spans="1:10" x14ac:dyDescent="0.25">
      <c r="A282">
        <v>433</v>
      </c>
      <c r="B282">
        <v>433</v>
      </c>
      <c r="C282" t="s">
        <v>2150</v>
      </c>
      <c r="D282" t="s">
        <v>2916</v>
      </c>
      <c r="E282" s="1">
        <v>29634</v>
      </c>
      <c r="F282" t="s">
        <v>2151</v>
      </c>
      <c r="G282" t="s">
        <v>2152</v>
      </c>
      <c r="H282" t="s">
        <v>2153</v>
      </c>
      <c r="I282" s="1">
        <v>3427</v>
      </c>
      <c r="J282">
        <v>3</v>
      </c>
    </row>
    <row r="283" spans="1:10" x14ac:dyDescent="0.25">
      <c r="A283">
        <v>225</v>
      </c>
      <c r="B283">
        <v>225</v>
      </c>
      <c r="C283" t="s">
        <v>1139</v>
      </c>
      <c r="D283" t="s">
        <v>2916</v>
      </c>
      <c r="E283" s="1">
        <v>39238</v>
      </c>
      <c r="F283" t="s">
        <v>1140</v>
      </c>
      <c r="G283" t="s">
        <v>1141</v>
      </c>
      <c r="H283" t="s">
        <v>1142</v>
      </c>
      <c r="I283" s="1">
        <v>6068</v>
      </c>
      <c r="J283">
        <v>1</v>
      </c>
    </row>
    <row r="284" spans="1:10" x14ac:dyDescent="0.25">
      <c r="A284">
        <v>387</v>
      </c>
      <c r="B284">
        <v>387</v>
      </c>
      <c r="C284" t="s">
        <v>1927</v>
      </c>
      <c r="D284" t="s">
        <v>2916</v>
      </c>
      <c r="E284" s="1">
        <v>23345</v>
      </c>
      <c r="F284" t="s">
        <v>1928</v>
      </c>
      <c r="G284" t="s">
        <v>1929</v>
      </c>
      <c r="H284" t="s">
        <v>1930</v>
      </c>
      <c r="I284" s="1">
        <v>5829</v>
      </c>
      <c r="J284">
        <v>6</v>
      </c>
    </row>
    <row r="285" spans="1:10" x14ac:dyDescent="0.25">
      <c r="A285">
        <v>101</v>
      </c>
      <c r="B285">
        <v>101</v>
      </c>
      <c r="C285" t="s">
        <v>530</v>
      </c>
      <c r="D285" t="s">
        <v>2917</v>
      </c>
      <c r="E285" s="1">
        <v>3002</v>
      </c>
      <c r="F285" t="s">
        <v>531</v>
      </c>
      <c r="G285" t="s">
        <v>532</v>
      </c>
      <c r="H285" t="s">
        <v>533</v>
      </c>
      <c r="I285" s="1">
        <v>127764</v>
      </c>
      <c r="J285">
        <v>1</v>
      </c>
    </row>
    <row r="286" spans="1:10" x14ac:dyDescent="0.25">
      <c r="A286">
        <v>239</v>
      </c>
      <c r="B286">
        <v>239</v>
      </c>
      <c r="C286" t="s">
        <v>1208</v>
      </c>
      <c r="D286" t="s">
        <v>2917</v>
      </c>
      <c r="E286" s="1">
        <v>2904</v>
      </c>
      <c r="F286" t="s">
        <v>1209</v>
      </c>
      <c r="G286" t="s">
        <v>1210</v>
      </c>
      <c r="H286" t="s">
        <v>1211</v>
      </c>
      <c r="I286">
        <v>136</v>
      </c>
      <c r="J286">
        <v>4</v>
      </c>
    </row>
    <row r="287" spans="1:10" x14ac:dyDescent="0.25">
      <c r="A287">
        <v>274</v>
      </c>
      <c r="B287">
        <v>274</v>
      </c>
      <c r="C287" t="s">
        <v>1377</v>
      </c>
      <c r="D287" t="s">
        <v>2916</v>
      </c>
      <c r="E287" s="1">
        <v>1699</v>
      </c>
      <c r="F287" t="s">
        <v>1378</v>
      </c>
      <c r="G287" t="s">
        <v>1379</v>
      </c>
      <c r="H287" t="s">
        <v>1380</v>
      </c>
      <c r="I287" s="1">
        <v>4955</v>
      </c>
      <c r="J287">
        <v>3</v>
      </c>
    </row>
    <row r="288" spans="1:10" x14ac:dyDescent="0.25">
      <c r="A288">
        <v>119</v>
      </c>
      <c r="B288">
        <v>119</v>
      </c>
      <c r="C288" t="s">
        <v>618</v>
      </c>
      <c r="D288" t="s">
        <v>2917</v>
      </c>
      <c r="E288" s="1">
        <v>3099</v>
      </c>
      <c r="F288" t="s">
        <v>619</v>
      </c>
      <c r="G288" t="s">
        <v>620</v>
      </c>
      <c r="H288" t="s">
        <v>621</v>
      </c>
      <c r="I288">
        <v>61</v>
      </c>
      <c r="J288">
        <v>3</v>
      </c>
    </row>
    <row r="289" spans="1:10" x14ac:dyDescent="0.25">
      <c r="A289">
        <v>503</v>
      </c>
      <c r="B289">
        <v>503</v>
      </c>
      <c r="C289" t="s">
        <v>2479</v>
      </c>
      <c r="D289" t="s">
        <v>2916</v>
      </c>
      <c r="E289" s="1">
        <v>48579</v>
      </c>
      <c r="F289" t="s">
        <v>2480</v>
      </c>
      <c r="G289" t="s">
        <v>2481</v>
      </c>
      <c r="H289" t="s">
        <v>2482</v>
      </c>
      <c r="I289" s="1">
        <v>1764</v>
      </c>
      <c r="J289">
        <v>4</v>
      </c>
    </row>
    <row r="290" spans="1:10" x14ac:dyDescent="0.25">
      <c r="A290">
        <v>430</v>
      </c>
      <c r="B290">
        <v>430</v>
      </c>
      <c r="C290" t="s">
        <v>2135</v>
      </c>
      <c r="D290" t="s">
        <v>2916</v>
      </c>
      <c r="E290" s="1">
        <v>3244</v>
      </c>
      <c r="F290" t="s">
        <v>2136</v>
      </c>
      <c r="G290" t="s">
        <v>2137</v>
      </c>
      <c r="H290" t="s">
        <v>2138</v>
      </c>
      <c r="I290">
        <v>558</v>
      </c>
      <c r="J290">
        <v>1</v>
      </c>
    </row>
    <row r="291" spans="1:10" x14ac:dyDescent="0.25">
      <c r="A291">
        <v>42</v>
      </c>
      <c r="B291">
        <v>42</v>
      </c>
      <c r="C291" t="s">
        <v>237</v>
      </c>
      <c r="D291" t="s">
        <v>2916</v>
      </c>
      <c r="E291" s="1">
        <v>5673</v>
      </c>
      <c r="F291" t="s">
        <v>238</v>
      </c>
      <c r="G291" t="s">
        <v>239</v>
      </c>
      <c r="H291" t="s">
        <v>240</v>
      </c>
      <c r="I291" s="1">
        <v>18455</v>
      </c>
      <c r="J291">
        <v>5</v>
      </c>
    </row>
    <row r="292" spans="1:10" x14ac:dyDescent="0.25">
      <c r="A292">
        <v>400</v>
      </c>
      <c r="B292">
        <v>400</v>
      </c>
      <c r="C292" t="s">
        <v>1990</v>
      </c>
      <c r="D292" t="s">
        <v>2916</v>
      </c>
      <c r="E292" s="1">
        <v>3258</v>
      </c>
      <c r="F292" t="s">
        <v>1991</v>
      </c>
      <c r="G292" t="s">
        <v>1992</v>
      </c>
      <c r="H292" t="s">
        <v>1993</v>
      </c>
      <c r="I292">
        <v>143</v>
      </c>
      <c r="J292">
        <v>1</v>
      </c>
    </row>
    <row r="293" spans="1:10" x14ac:dyDescent="0.25">
      <c r="A293">
        <v>280</v>
      </c>
      <c r="B293">
        <v>280</v>
      </c>
      <c r="C293" t="s">
        <v>1405</v>
      </c>
      <c r="D293" t="s">
        <v>2916</v>
      </c>
      <c r="E293" s="1">
        <v>70988</v>
      </c>
      <c r="F293" t="s">
        <v>1406</v>
      </c>
      <c r="G293" t="s">
        <v>1407</v>
      </c>
      <c r="H293" t="s">
        <v>1408</v>
      </c>
      <c r="I293">
        <v>245</v>
      </c>
      <c r="J293">
        <v>6</v>
      </c>
    </row>
    <row r="294" spans="1:10" x14ac:dyDescent="0.25">
      <c r="A294">
        <v>288</v>
      </c>
      <c r="B294">
        <v>288</v>
      </c>
      <c r="C294" t="s">
        <v>1444</v>
      </c>
      <c r="D294" t="s">
        <v>2916</v>
      </c>
      <c r="E294" s="1">
        <v>15918</v>
      </c>
      <c r="F294" t="s">
        <v>1445</v>
      </c>
      <c r="G294" t="s">
        <v>1446</v>
      </c>
      <c r="H294" t="s">
        <v>1447</v>
      </c>
      <c r="I294">
        <v>535</v>
      </c>
      <c r="J294">
        <v>4</v>
      </c>
    </row>
    <row r="295" spans="1:10" x14ac:dyDescent="0.25">
      <c r="A295">
        <v>219</v>
      </c>
      <c r="B295">
        <v>219</v>
      </c>
      <c r="C295" t="s">
        <v>1109</v>
      </c>
      <c r="D295" t="s">
        <v>2916</v>
      </c>
      <c r="E295" s="1">
        <v>12964</v>
      </c>
      <c r="F295" t="s">
        <v>1110</v>
      </c>
      <c r="G295" t="s">
        <v>1111</v>
      </c>
      <c r="H295" t="s">
        <v>1112</v>
      </c>
      <c r="I295" s="1">
        <v>4558</v>
      </c>
      <c r="J295">
        <v>1</v>
      </c>
    </row>
    <row r="296" spans="1:10" x14ac:dyDescent="0.25">
      <c r="A296">
        <v>290</v>
      </c>
      <c r="B296">
        <v>290</v>
      </c>
      <c r="C296" t="s">
        <v>1452</v>
      </c>
      <c r="D296" t="s">
        <v>2917</v>
      </c>
      <c r="E296" s="1">
        <v>24230</v>
      </c>
      <c r="F296" t="s">
        <v>1453</v>
      </c>
      <c r="G296" t="s">
        <v>1454</v>
      </c>
      <c r="H296" t="s">
        <v>1455</v>
      </c>
      <c r="I296">
        <v>191</v>
      </c>
      <c r="J296">
        <v>5</v>
      </c>
    </row>
    <row r="297" spans="1:10" x14ac:dyDescent="0.25">
      <c r="A297">
        <v>305</v>
      </c>
      <c r="B297">
        <v>305</v>
      </c>
      <c r="C297" t="s">
        <v>1525</v>
      </c>
      <c r="D297" t="s">
        <v>2916</v>
      </c>
      <c r="E297" s="1">
        <v>29341</v>
      </c>
      <c r="F297" t="s">
        <v>1526</v>
      </c>
      <c r="G297" t="s">
        <v>1527</v>
      </c>
      <c r="H297" t="s">
        <v>1528</v>
      </c>
      <c r="I297" s="1">
        <v>7710</v>
      </c>
      <c r="J297">
        <v>3</v>
      </c>
    </row>
    <row r="298" spans="1:10" x14ac:dyDescent="0.25">
      <c r="A298">
        <v>456</v>
      </c>
      <c r="B298">
        <v>456</v>
      </c>
      <c r="C298" t="s">
        <v>2261</v>
      </c>
      <c r="D298" t="s">
        <v>2916</v>
      </c>
      <c r="E298" s="1">
        <v>68830</v>
      </c>
      <c r="F298" t="s">
        <v>2262</v>
      </c>
      <c r="G298" t="s">
        <v>2263</v>
      </c>
      <c r="H298" t="s">
        <v>2264</v>
      </c>
      <c r="I298">
        <v>707</v>
      </c>
      <c r="J298">
        <v>1</v>
      </c>
    </row>
    <row r="299" spans="1:10" x14ac:dyDescent="0.25">
      <c r="A299">
        <v>94</v>
      </c>
      <c r="B299">
        <v>94</v>
      </c>
      <c r="C299" t="s">
        <v>495</v>
      </c>
      <c r="D299" t="s">
        <v>2916</v>
      </c>
      <c r="E299" s="1">
        <v>4546</v>
      </c>
      <c r="F299" t="s">
        <v>496</v>
      </c>
      <c r="G299" t="s">
        <v>497</v>
      </c>
      <c r="H299" t="s">
        <v>498</v>
      </c>
      <c r="I299" s="1">
        <v>94444</v>
      </c>
      <c r="J299">
        <v>3</v>
      </c>
    </row>
    <row r="300" spans="1:10" x14ac:dyDescent="0.25">
      <c r="A300">
        <v>296</v>
      </c>
      <c r="B300">
        <v>296</v>
      </c>
      <c r="C300" t="s">
        <v>1481</v>
      </c>
      <c r="D300" t="s">
        <v>2917</v>
      </c>
      <c r="E300" s="1">
        <v>5670</v>
      </c>
      <c r="F300" t="s">
        <v>1482</v>
      </c>
      <c r="G300" t="s">
        <v>1483</v>
      </c>
      <c r="H300" t="s">
        <v>1484</v>
      </c>
      <c r="I300">
        <v>122</v>
      </c>
      <c r="J300">
        <v>2</v>
      </c>
    </row>
    <row r="301" spans="1:10" x14ac:dyDescent="0.25">
      <c r="A301">
        <v>107</v>
      </c>
      <c r="B301">
        <v>107</v>
      </c>
      <c r="C301" t="s">
        <v>559</v>
      </c>
      <c r="D301" t="s">
        <v>2917</v>
      </c>
      <c r="E301" s="1">
        <v>3926</v>
      </c>
      <c r="F301" t="s">
        <v>560</v>
      </c>
      <c r="G301" t="s">
        <v>561</v>
      </c>
      <c r="H301" t="s">
        <v>562</v>
      </c>
      <c r="I301" s="1">
        <v>241802</v>
      </c>
      <c r="J301">
        <v>2</v>
      </c>
    </row>
    <row r="302" spans="1:10" x14ac:dyDescent="0.25">
      <c r="A302">
        <v>395</v>
      </c>
      <c r="B302">
        <v>395</v>
      </c>
      <c r="C302" t="s">
        <v>1965</v>
      </c>
      <c r="D302" t="s">
        <v>2916</v>
      </c>
      <c r="E302" s="1">
        <v>1723</v>
      </c>
      <c r="F302" t="s">
        <v>1966</v>
      </c>
      <c r="G302" t="s">
        <v>1967</v>
      </c>
      <c r="H302" t="s">
        <v>1968</v>
      </c>
      <c r="I302" s="1">
        <v>1106</v>
      </c>
      <c r="J302">
        <v>1</v>
      </c>
    </row>
    <row r="303" spans="1:10" x14ac:dyDescent="0.25">
      <c r="A303">
        <v>52</v>
      </c>
      <c r="B303">
        <v>52</v>
      </c>
      <c r="C303" t="s">
        <v>288</v>
      </c>
      <c r="D303" t="s">
        <v>2917</v>
      </c>
      <c r="E303" s="1">
        <v>1176</v>
      </c>
      <c r="F303" t="s">
        <v>289</v>
      </c>
      <c r="G303" t="s">
        <v>290</v>
      </c>
      <c r="H303" t="s">
        <v>291</v>
      </c>
      <c r="I303" s="1">
        <v>22922</v>
      </c>
      <c r="J303">
        <v>2</v>
      </c>
    </row>
    <row r="304" spans="1:10" x14ac:dyDescent="0.25">
      <c r="A304">
        <v>267</v>
      </c>
      <c r="B304">
        <v>267</v>
      </c>
      <c r="C304" t="s">
        <v>1342</v>
      </c>
      <c r="D304" t="s">
        <v>2917</v>
      </c>
      <c r="E304" s="1">
        <v>1281</v>
      </c>
      <c r="F304" t="s">
        <v>1343</v>
      </c>
      <c r="G304" t="s">
        <v>1344</v>
      </c>
      <c r="H304" t="s">
        <v>1345</v>
      </c>
      <c r="I304">
        <v>171</v>
      </c>
      <c r="J304">
        <v>1</v>
      </c>
    </row>
    <row r="305" spans="1:10" x14ac:dyDescent="0.25">
      <c r="A305">
        <v>337</v>
      </c>
      <c r="B305">
        <v>337</v>
      </c>
      <c r="C305" t="s">
        <v>1682</v>
      </c>
      <c r="D305" t="s">
        <v>2916</v>
      </c>
      <c r="E305" s="1">
        <v>215948</v>
      </c>
      <c r="F305" t="s">
        <v>1683</v>
      </c>
      <c r="G305" t="s">
        <v>1684</v>
      </c>
      <c r="H305" t="s">
        <v>1685</v>
      </c>
      <c r="I305">
        <v>341</v>
      </c>
      <c r="J305">
        <v>7</v>
      </c>
    </row>
    <row r="306" spans="1:10" x14ac:dyDescent="0.25">
      <c r="A306">
        <v>185</v>
      </c>
      <c r="B306">
        <v>185</v>
      </c>
      <c r="C306" t="s">
        <v>943</v>
      </c>
      <c r="D306" t="s">
        <v>2916</v>
      </c>
      <c r="E306" s="1">
        <v>110849</v>
      </c>
      <c r="F306" t="s">
        <v>944</v>
      </c>
      <c r="G306" t="s">
        <v>945</v>
      </c>
      <c r="H306" t="s">
        <v>946</v>
      </c>
      <c r="I306">
        <v>759</v>
      </c>
      <c r="J306">
        <v>9</v>
      </c>
    </row>
    <row r="307" spans="1:10" x14ac:dyDescent="0.25">
      <c r="A307">
        <v>372</v>
      </c>
      <c r="B307">
        <v>372</v>
      </c>
      <c r="C307" t="s">
        <v>1853</v>
      </c>
      <c r="D307" t="s">
        <v>2916</v>
      </c>
      <c r="E307" s="1">
        <v>32398</v>
      </c>
      <c r="F307" t="s">
        <v>1854</v>
      </c>
      <c r="G307" t="s">
        <v>1855</v>
      </c>
      <c r="H307" t="s">
        <v>1856</v>
      </c>
      <c r="I307" s="1">
        <v>1212</v>
      </c>
      <c r="J307">
        <v>2</v>
      </c>
    </row>
    <row r="308" spans="1:10" x14ac:dyDescent="0.25">
      <c r="A308">
        <v>319</v>
      </c>
      <c r="B308">
        <v>319</v>
      </c>
      <c r="C308" t="s">
        <v>1593</v>
      </c>
      <c r="D308" t="s">
        <v>2916</v>
      </c>
      <c r="E308" s="1">
        <v>94358</v>
      </c>
      <c r="F308" t="s">
        <v>1594</v>
      </c>
      <c r="G308" t="s">
        <v>1595</v>
      </c>
      <c r="H308" t="s">
        <v>1596</v>
      </c>
      <c r="I308">
        <v>699</v>
      </c>
      <c r="J308">
        <v>2</v>
      </c>
    </row>
    <row r="309" spans="1:10" x14ac:dyDescent="0.25">
      <c r="A309">
        <v>454</v>
      </c>
      <c r="B309">
        <v>454</v>
      </c>
      <c r="C309" t="s">
        <v>2251</v>
      </c>
      <c r="D309" t="s">
        <v>2916</v>
      </c>
      <c r="E309" s="1">
        <v>4309</v>
      </c>
      <c r="F309" t="s">
        <v>2252</v>
      </c>
      <c r="G309" t="s">
        <v>2253</v>
      </c>
      <c r="H309" t="s">
        <v>2254</v>
      </c>
      <c r="I309" s="1">
        <v>1537</v>
      </c>
      <c r="J309">
        <v>3</v>
      </c>
    </row>
    <row r="310" spans="1:10" x14ac:dyDescent="0.25">
      <c r="A310">
        <v>284</v>
      </c>
      <c r="B310">
        <v>284</v>
      </c>
      <c r="C310" t="s">
        <v>1424</v>
      </c>
      <c r="D310" t="s">
        <v>2916</v>
      </c>
      <c r="E310" s="1">
        <v>11157</v>
      </c>
      <c r="F310" t="s">
        <v>1425</v>
      </c>
      <c r="G310" t="s">
        <v>1426</v>
      </c>
      <c r="H310" t="s">
        <v>1427</v>
      </c>
      <c r="I310" s="1">
        <v>8709</v>
      </c>
      <c r="J310">
        <v>4</v>
      </c>
    </row>
    <row r="311" spans="1:10" x14ac:dyDescent="0.25">
      <c r="A311">
        <v>62</v>
      </c>
      <c r="B311">
        <v>62</v>
      </c>
      <c r="C311" t="s">
        <v>337</v>
      </c>
      <c r="D311" t="s">
        <v>2916</v>
      </c>
      <c r="E311" s="1">
        <v>17600</v>
      </c>
      <c r="F311" t="s">
        <v>338</v>
      </c>
      <c r="G311" t="s">
        <v>339</v>
      </c>
      <c r="H311" t="s">
        <v>335</v>
      </c>
      <c r="I311" s="1">
        <v>26607</v>
      </c>
      <c r="J311">
        <v>1</v>
      </c>
    </row>
    <row r="312" spans="1:10" x14ac:dyDescent="0.25">
      <c r="A312">
        <v>342</v>
      </c>
      <c r="B312">
        <v>342</v>
      </c>
      <c r="C312" t="s">
        <v>1706</v>
      </c>
      <c r="D312" t="s">
        <v>2917</v>
      </c>
      <c r="E312" s="1">
        <v>2589</v>
      </c>
      <c r="F312" t="s">
        <v>1707</v>
      </c>
      <c r="G312" t="s">
        <v>1708</v>
      </c>
      <c r="H312" t="s">
        <v>1709</v>
      </c>
      <c r="I312">
        <v>251</v>
      </c>
      <c r="J312">
        <v>1</v>
      </c>
    </row>
    <row r="313" spans="1:10" x14ac:dyDescent="0.25">
      <c r="A313">
        <v>170</v>
      </c>
      <c r="B313">
        <v>170</v>
      </c>
      <c r="C313" t="s">
        <v>868</v>
      </c>
      <c r="D313" t="s">
        <v>2917</v>
      </c>
      <c r="E313" s="1">
        <v>4923</v>
      </c>
      <c r="F313" t="s">
        <v>869</v>
      </c>
      <c r="G313" t="s">
        <v>870</v>
      </c>
      <c r="H313" t="s">
        <v>871</v>
      </c>
      <c r="I313">
        <v>456</v>
      </c>
      <c r="J313">
        <v>1</v>
      </c>
    </row>
    <row r="314" spans="1:10" x14ac:dyDescent="0.25">
      <c r="A314">
        <v>416</v>
      </c>
      <c r="B314">
        <v>416</v>
      </c>
      <c r="C314" t="s">
        <v>2068</v>
      </c>
      <c r="D314" t="s">
        <v>2916</v>
      </c>
      <c r="E314" s="1">
        <v>3191</v>
      </c>
      <c r="F314" t="s">
        <v>2069</v>
      </c>
      <c r="G314" t="s">
        <v>2070</v>
      </c>
      <c r="H314" t="s">
        <v>1610</v>
      </c>
      <c r="I314" s="1">
        <v>6435</v>
      </c>
      <c r="J314">
        <v>1</v>
      </c>
    </row>
    <row r="315" spans="1:10" x14ac:dyDescent="0.25">
      <c r="A315">
        <v>564</v>
      </c>
      <c r="B315">
        <v>564</v>
      </c>
      <c r="C315" t="s">
        <v>2773</v>
      </c>
      <c r="D315" t="s">
        <v>2916</v>
      </c>
      <c r="E315" s="1">
        <v>65620</v>
      </c>
      <c r="F315" t="s">
        <v>2774</v>
      </c>
      <c r="G315" t="s">
        <v>2775</v>
      </c>
      <c r="H315" t="s">
        <v>2776</v>
      </c>
      <c r="I315">
        <v>437</v>
      </c>
      <c r="J315">
        <v>1</v>
      </c>
    </row>
    <row r="316" spans="1:10" x14ac:dyDescent="0.25">
      <c r="A316">
        <v>131</v>
      </c>
      <c r="B316">
        <v>131</v>
      </c>
      <c r="C316" t="s">
        <v>678</v>
      </c>
      <c r="D316" t="s">
        <v>2916</v>
      </c>
      <c r="E316" s="1">
        <v>28687</v>
      </c>
      <c r="F316" t="s">
        <v>679</v>
      </c>
      <c r="G316" t="s">
        <v>680</v>
      </c>
      <c r="H316" t="s">
        <v>681</v>
      </c>
      <c r="I316" s="1">
        <v>3045</v>
      </c>
      <c r="J316">
        <v>4</v>
      </c>
    </row>
    <row r="317" spans="1:10" x14ac:dyDescent="0.25">
      <c r="A317">
        <v>497</v>
      </c>
      <c r="B317">
        <v>497</v>
      </c>
      <c r="C317" t="s">
        <v>2452</v>
      </c>
      <c r="D317" t="s">
        <v>2916</v>
      </c>
      <c r="E317" s="1">
        <v>183939</v>
      </c>
      <c r="F317" t="s">
        <v>2453</v>
      </c>
      <c r="G317" t="s">
        <v>2454</v>
      </c>
      <c r="H317" t="s">
        <v>2455</v>
      </c>
      <c r="I317">
        <v>680</v>
      </c>
      <c r="J317">
        <v>5</v>
      </c>
    </row>
    <row r="318" spans="1:10" x14ac:dyDescent="0.25">
      <c r="A318">
        <v>402</v>
      </c>
      <c r="B318">
        <v>402</v>
      </c>
      <c r="C318" t="s">
        <v>2000</v>
      </c>
      <c r="D318" t="s">
        <v>2916</v>
      </c>
      <c r="E318" s="1">
        <v>96664</v>
      </c>
      <c r="F318" t="s">
        <v>2001</v>
      </c>
      <c r="G318" t="s">
        <v>2002</v>
      </c>
      <c r="H318" t="s">
        <v>2003</v>
      </c>
      <c r="I318" s="1">
        <v>4361</v>
      </c>
      <c r="J318">
        <v>1</v>
      </c>
    </row>
    <row r="319" spans="1:10" x14ac:dyDescent="0.25">
      <c r="A319">
        <v>255</v>
      </c>
      <c r="B319">
        <v>255</v>
      </c>
      <c r="C319" t="s">
        <v>1285</v>
      </c>
      <c r="D319" t="s">
        <v>2916</v>
      </c>
      <c r="E319" s="1">
        <v>44753</v>
      </c>
      <c r="F319" t="s">
        <v>1286</v>
      </c>
      <c r="G319" t="s">
        <v>1287</v>
      </c>
      <c r="H319" t="s">
        <v>1288</v>
      </c>
      <c r="I319">
        <v>235</v>
      </c>
      <c r="J319">
        <v>3</v>
      </c>
    </row>
    <row r="320" spans="1:10" x14ac:dyDescent="0.25">
      <c r="A320">
        <v>458</v>
      </c>
      <c r="B320">
        <v>458</v>
      </c>
      <c r="C320" t="s">
        <v>2269</v>
      </c>
      <c r="D320" t="s">
        <v>2916</v>
      </c>
      <c r="E320" s="1">
        <v>29808</v>
      </c>
      <c r="F320" t="s">
        <v>2270</v>
      </c>
      <c r="G320" t="s">
        <v>2271</v>
      </c>
      <c r="H320" t="s">
        <v>2272</v>
      </c>
      <c r="I320" s="1">
        <v>1246</v>
      </c>
      <c r="J320">
        <v>3</v>
      </c>
    </row>
    <row r="321" spans="1:10" x14ac:dyDescent="0.25">
      <c r="A321">
        <v>146</v>
      </c>
      <c r="B321">
        <v>146</v>
      </c>
      <c r="C321" t="s">
        <v>750</v>
      </c>
      <c r="D321" t="s">
        <v>2916</v>
      </c>
      <c r="E321" s="1">
        <v>5507</v>
      </c>
      <c r="F321" t="s">
        <v>751</v>
      </c>
      <c r="G321" t="s">
        <v>752</v>
      </c>
      <c r="H321" t="s">
        <v>753</v>
      </c>
      <c r="I321">
        <v>95</v>
      </c>
      <c r="J321">
        <v>3</v>
      </c>
    </row>
    <row r="322" spans="1:10" x14ac:dyDescent="0.25">
      <c r="A322">
        <v>318</v>
      </c>
      <c r="B322">
        <v>318</v>
      </c>
      <c r="C322" t="s">
        <v>1588</v>
      </c>
      <c r="D322" t="s">
        <v>2916</v>
      </c>
      <c r="E322" s="1">
        <v>85822</v>
      </c>
      <c r="F322" t="s">
        <v>1589</v>
      </c>
      <c r="G322" t="s">
        <v>1590</v>
      </c>
      <c r="H322" t="s">
        <v>1591</v>
      </c>
      <c r="I322">
        <v>712</v>
      </c>
      <c r="J322">
        <v>6</v>
      </c>
    </row>
    <row r="323" spans="1:10" x14ac:dyDescent="0.25">
      <c r="A323">
        <v>330</v>
      </c>
      <c r="B323">
        <v>330</v>
      </c>
      <c r="C323" t="s">
        <v>1647</v>
      </c>
      <c r="D323" t="s">
        <v>2916</v>
      </c>
      <c r="E323" s="1">
        <v>19077</v>
      </c>
      <c r="F323" t="s">
        <v>1648</v>
      </c>
      <c r="G323" t="s">
        <v>1649</v>
      </c>
      <c r="H323" t="s">
        <v>1650</v>
      </c>
      <c r="I323">
        <v>796</v>
      </c>
      <c r="J323">
        <v>6</v>
      </c>
    </row>
    <row r="324" spans="1:10" x14ac:dyDescent="0.25">
      <c r="A324">
        <v>173</v>
      </c>
      <c r="B324">
        <v>173</v>
      </c>
      <c r="C324" t="s">
        <v>883</v>
      </c>
      <c r="D324" t="s">
        <v>2916</v>
      </c>
      <c r="E324" s="1">
        <v>11153</v>
      </c>
      <c r="F324" t="s">
        <v>884</v>
      </c>
      <c r="G324" t="s">
        <v>885</v>
      </c>
      <c r="H324" t="s">
        <v>886</v>
      </c>
      <c r="I324">
        <v>425</v>
      </c>
      <c r="J324">
        <v>2</v>
      </c>
    </row>
    <row r="325" spans="1:10" x14ac:dyDescent="0.25">
      <c r="A325">
        <v>53</v>
      </c>
      <c r="B325">
        <v>53</v>
      </c>
      <c r="C325" t="s">
        <v>293</v>
      </c>
      <c r="D325" t="s">
        <v>2916</v>
      </c>
      <c r="E325" s="1">
        <v>6247</v>
      </c>
      <c r="F325" t="s">
        <v>294</v>
      </c>
      <c r="G325" t="s">
        <v>295</v>
      </c>
      <c r="H325" t="s">
        <v>291</v>
      </c>
      <c r="I325" s="1">
        <v>22922</v>
      </c>
      <c r="J325">
        <v>2</v>
      </c>
    </row>
    <row r="326" spans="1:10" x14ac:dyDescent="0.25">
      <c r="A326">
        <v>475</v>
      </c>
      <c r="B326">
        <v>475</v>
      </c>
      <c r="C326" t="s">
        <v>2351</v>
      </c>
      <c r="D326" t="s">
        <v>2916</v>
      </c>
      <c r="E326" s="1">
        <v>39369</v>
      </c>
      <c r="F326" t="s">
        <v>2352</v>
      </c>
      <c r="G326" t="s">
        <v>2353</v>
      </c>
      <c r="H326" t="s">
        <v>2354</v>
      </c>
      <c r="I326" s="1">
        <v>4209</v>
      </c>
      <c r="J326">
        <v>2</v>
      </c>
    </row>
    <row r="327" spans="1:10" x14ac:dyDescent="0.25">
      <c r="A327">
        <v>358</v>
      </c>
      <c r="B327">
        <v>358</v>
      </c>
      <c r="C327" t="s">
        <v>1784</v>
      </c>
      <c r="D327" t="s">
        <v>2916</v>
      </c>
      <c r="E327" s="1">
        <v>16641</v>
      </c>
      <c r="F327" t="s">
        <v>1785</v>
      </c>
      <c r="G327" t="s">
        <v>1786</v>
      </c>
      <c r="H327" t="s">
        <v>1787</v>
      </c>
      <c r="I327" s="1">
        <v>1658</v>
      </c>
      <c r="J327">
        <v>4</v>
      </c>
    </row>
    <row r="328" spans="1:10" x14ac:dyDescent="0.25">
      <c r="A328">
        <v>410</v>
      </c>
      <c r="B328">
        <v>410</v>
      </c>
      <c r="C328" t="s">
        <v>2039</v>
      </c>
      <c r="D328" t="s">
        <v>2917</v>
      </c>
      <c r="E328" s="1">
        <v>71210</v>
      </c>
      <c r="F328" t="s">
        <v>2040</v>
      </c>
      <c r="G328" t="s">
        <v>2041</v>
      </c>
      <c r="H328" t="s">
        <v>2042</v>
      </c>
      <c r="I328" s="1">
        <v>1175</v>
      </c>
      <c r="J328">
        <v>2</v>
      </c>
    </row>
    <row r="329" spans="1:10" x14ac:dyDescent="0.25">
      <c r="A329">
        <v>312</v>
      </c>
      <c r="B329">
        <v>312</v>
      </c>
      <c r="C329" t="s">
        <v>1559</v>
      </c>
      <c r="D329" t="s">
        <v>2916</v>
      </c>
      <c r="E329" s="1">
        <v>23869</v>
      </c>
      <c r="F329" t="s">
        <v>1560</v>
      </c>
      <c r="G329" t="s">
        <v>1561</v>
      </c>
      <c r="H329" t="s">
        <v>1562</v>
      </c>
      <c r="I329">
        <v>185</v>
      </c>
      <c r="J329">
        <v>3</v>
      </c>
    </row>
    <row r="330" spans="1:10" x14ac:dyDescent="0.25">
      <c r="A330">
        <v>198</v>
      </c>
      <c r="B330">
        <v>198</v>
      </c>
      <c r="C330" t="s">
        <v>1007</v>
      </c>
      <c r="D330" t="s">
        <v>2917</v>
      </c>
      <c r="E330" s="1">
        <v>31307</v>
      </c>
      <c r="F330" t="s">
        <v>1008</v>
      </c>
      <c r="G330" t="s">
        <v>1009</v>
      </c>
      <c r="H330" t="s">
        <v>1010</v>
      </c>
      <c r="I330">
        <v>131</v>
      </c>
      <c r="J330">
        <v>1</v>
      </c>
    </row>
    <row r="331" spans="1:10" x14ac:dyDescent="0.25">
      <c r="A331">
        <v>439</v>
      </c>
      <c r="B331">
        <v>439</v>
      </c>
      <c r="C331" t="s">
        <v>2179</v>
      </c>
      <c r="D331" t="s">
        <v>2916</v>
      </c>
      <c r="E331">
        <v>881</v>
      </c>
      <c r="F331" t="s">
        <v>2180</v>
      </c>
      <c r="G331" t="s">
        <v>2181</v>
      </c>
      <c r="H331" t="s">
        <v>2182</v>
      </c>
      <c r="I331" s="1">
        <v>5216</v>
      </c>
      <c r="J331">
        <v>1</v>
      </c>
    </row>
    <row r="332" spans="1:10" x14ac:dyDescent="0.25">
      <c r="A332">
        <v>451</v>
      </c>
      <c r="B332">
        <v>451</v>
      </c>
      <c r="C332" t="s">
        <v>2236</v>
      </c>
      <c r="D332" t="s">
        <v>2916</v>
      </c>
      <c r="E332" s="1">
        <v>15157</v>
      </c>
      <c r="F332" t="s">
        <v>2237</v>
      </c>
      <c r="G332" t="s">
        <v>2238</v>
      </c>
      <c r="H332" t="s">
        <v>2239</v>
      </c>
      <c r="I332" s="1">
        <v>6852</v>
      </c>
      <c r="J332">
        <v>2</v>
      </c>
    </row>
    <row r="333" spans="1:10" x14ac:dyDescent="0.25">
      <c r="A333">
        <v>130</v>
      </c>
      <c r="B333">
        <v>130</v>
      </c>
      <c r="C333" t="s">
        <v>673</v>
      </c>
      <c r="D333" t="s">
        <v>2917</v>
      </c>
      <c r="E333" s="1">
        <v>26502</v>
      </c>
      <c r="F333" t="s">
        <v>674</v>
      </c>
      <c r="G333" t="s">
        <v>675</v>
      </c>
      <c r="H333" t="s">
        <v>676</v>
      </c>
      <c r="I333">
        <v>455</v>
      </c>
      <c r="J333">
        <v>2</v>
      </c>
    </row>
    <row r="334" spans="1:10" x14ac:dyDescent="0.25">
      <c r="A334">
        <v>9</v>
      </c>
      <c r="B334">
        <v>9</v>
      </c>
      <c r="C334" t="s">
        <v>66</v>
      </c>
      <c r="D334" t="s">
        <v>2916</v>
      </c>
      <c r="E334" s="1">
        <v>50834</v>
      </c>
      <c r="F334" t="s">
        <v>67</v>
      </c>
      <c r="G334" t="s">
        <v>68</v>
      </c>
      <c r="H334" t="s">
        <v>69</v>
      </c>
      <c r="I334" s="1">
        <v>10908</v>
      </c>
      <c r="J334">
        <v>5</v>
      </c>
    </row>
    <row r="335" spans="1:10" x14ac:dyDescent="0.25">
      <c r="A335">
        <v>399</v>
      </c>
      <c r="B335">
        <v>399</v>
      </c>
      <c r="C335" t="s">
        <v>1985</v>
      </c>
      <c r="D335" t="s">
        <v>2917</v>
      </c>
      <c r="E335" s="1">
        <v>86272</v>
      </c>
      <c r="F335" t="s">
        <v>1986</v>
      </c>
      <c r="G335" t="s">
        <v>1987</v>
      </c>
      <c r="H335" t="s">
        <v>1988</v>
      </c>
      <c r="I335">
        <v>797</v>
      </c>
      <c r="J335">
        <v>6</v>
      </c>
    </row>
    <row r="336" spans="1:10" x14ac:dyDescent="0.25">
      <c r="A336">
        <v>73</v>
      </c>
      <c r="B336">
        <v>73</v>
      </c>
      <c r="C336" t="s">
        <v>392</v>
      </c>
      <c r="D336" t="s">
        <v>2917</v>
      </c>
      <c r="E336" s="1">
        <v>12545</v>
      </c>
      <c r="F336" t="s">
        <v>393</v>
      </c>
      <c r="G336" t="s">
        <v>394</v>
      </c>
      <c r="H336" t="s">
        <v>395</v>
      </c>
      <c r="I336" s="1">
        <v>35004</v>
      </c>
      <c r="J336">
        <v>5</v>
      </c>
    </row>
    <row r="337" spans="1:10" x14ac:dyDescent="0.25">
      <c r="A337">
        <v>7</v>
      </c>
      <c r="B337">
        <v>7</v>
      </c>
      <c r="C337" t="s">
        <v>56</v>
      </c>
      <c r="D337" t="s">
        <v>2916</v>
      </c>
      <c r="E337" s="1">
        <v>2472</v>
      </c>
      <c r="F337" t="s">
        <v>57</v>
      </c>
      <c r="G337" t="s">
        <v>58</v>
      </c>
      <c r="H337" t="s">
        <v>59</v>
      </c>
      <c r="I337" s="1">
        <v>10769</v>
      </c>
      <c r="J337">
        <v>3</v>
      </c>
    </row>
    <row r="338" spans="1:10" x14ac:dyDescent="0.25">
      <c r="A338">
        <v>476</v>
      </c>
      <c r="B338">
        <v>476</v>
      </c>
      <c r="C338" t="s">
        <v>2356</v>
      </c>
      <c r="D338" t="s">
        <v>2916</v>
      </c>
      <c r="E338" s="1">
        <v>15746</v>
      </c>
      <c r="F338" t="s">
        <v>2357</v>
      </c>
      <c r="G338" t="s">
        <v>2358</v>
      </c>
      <c r="H338" t="s">
        <v>2359</v>
      </c>
      <c r="I338" s="1">
        <v>3807</v>
      </c>
      <c r="J338">
        <v>1</v>
      </c>
    </row>
    <row r="339" spans="1:10" x14ac:dyDescent="0.25">
      <c r="A339">
        <v>293</v>
      </c>
      <c r="B339">
        <v>293</v>
      </c>
      <c r="C339" t="s">
        <v>1466</v>
      </c>
      <c r="D339" t="s">
        <v>2916</v>
      </c>
      <c r="E339" s="1">
        <v>9771</v>
      </c>
      <c r="F339" t="s">
        <v>1467</v>
      </c>
      <c r="G339" t="s">
        <v>1468</v>
      </c>
      <c r="H339" t="s">
        <v>1469</v>
      </c>
      <c r="I339">
        <v>89</v>
      </c>
      <c r="J339">
        <v>1</v>
      </c>
    </row>
    <row r="340" spans="1:10" x14ac:dyDescent="0.25">
      <c r="A340">
        <v>434</v>
      </c>
      <c r="B340">
        <v>434</v>
      </c>
      <c r="C340" t="s">
        <v>2155</v>
      </c>
      <c r="D340" t="s">
        <v>2916</v>
      </c>
      <c r="E340" s="1">
        <v>17983</v>
      </c>
      <c r="F340" t="s">
        <v>2156</v>
      </c>
      <c r="G340" t="s">
        <v>2157</v>
      </c>
      <c r="H340" t="s">
        <v>2158</v>
      </c>
      <c r="I340" s="1">
        <v>1120</v>
      </c>
      <c r="J340">
        <v>2</v>
      </c>
    </row>
    <row r="341" spans="1:10" x14ac:dyDescent="0.25">
      <c r="A341">
        <v>364</v>
      </c>
      <c r="B341">
        <v>364</v>
      </c>
      <c r="C341" t="s">
        <v>1814</v>
      </c>
      <c r="D341" t="s">
        <v>2916</v>
      </c>
      <c r="E341" s="1">
        <v>21854</v>
      </c>
      <c r="F341" t="s">
        <v>1815</v>
      </c>
      <c r="G341" t="s">
        <v>1816</v>
      </c>
      <c r="H341" t="s">
        <v>1817</v>
      </c>
      <c r="I341">
        <v>121</v>
      </c>
      <c r="J341">
        <v>3</v>
      </c>
    </row>
    <row r="342" spans="1:10" x14ac:dyDescent="0.25">
      <c r="A342">
        <v>447</v>
      </c>
      <c r="B342">
        <v>447</v>
      </c>
      <c r="C342" t="s">
        <v>2216</v>
      </c>
      <c r="D342" t="s">
        <v>2916</v>
      </c>
      <c r="E342" s="1">
        <v>11137</v>
      </c>
      <c r="F342" t="s">
        <v>2217</v>
      </c>
      <c r="G342" t="s">
        <v>2218</v>
      </c>
      <c r="H342" t="s">
        <v>2219</v>
      </c>
      <c r="I342" s="1">
        <v>1627</v>
      </c>
      <c r="J342">
        <v>3</v>
      </c>
    </row>
    <row r="343" spans="1:10" x14ac:dyDescent="0.25">
      <c r="A343">
        <v>403</v>
      </c>
      <c r="B343">
        <v>403</v>
      </c>
      <c r="C343" t="s">
        <v>2005</v>
      </c>
      <c r="D343" t="s">
        <v>2916</v>
      </c>
      <c r="E343" s="1">
        <v>7411</v>
      </c>
      <c r="F343" t="s">
        <v>2006</v>
      </c>
      <c r="G343" t="s">
        <v>2007</v>
      </c>
      <c r="H343" t="s">
        <v>2008</v>
      </c>
      <c r="I343" s="1">
        <v>8067</v>
      </c>
      <c r="J343">
        <v>2</v>
      </c>
    </row>
    <row r="344" spans="1:10" x14ac:dyDescent="0.25">
      <c r="A344">
        <v>197</v>
      </c>
      <c r="B344">
        <v>197</v>
      </c>
      <c r="C344" t="s">
        <v>1002</v>
      </c>
      <c r="D344" t="s">
        <v>2916</v>
      </c>
      <c r="E344" s="1">
        <v>19044</v>
      </c>
      <c r="F344" t="s">
        <v>1003</v>
      </c>
      <c r="G344" t="s">
        <v>1004</v>
      </c>
      <c r="H344" t="s">
        <v>1005</v>
      </c>
      <c r="I344" s="1">
        <v>2571</v>
      </c>
      <c r="J344">
        <v>2</v>
      </c>
    </row>
    <row r="345" spans="1:10" x14ac:dyDescent="0.25">
      <c r="A345">
        <v>428</v>
      </c>
      <c r="B345">
        <v>428</v>
      </c>
      <c r="C345" t="s">
        <v>2125</v>
      </c>
      <c r="D345" t="s">
        <v>2917</v>
      </c>
      <c r="E345">
        <v>425</v>
      </c>
      <c r="F345" t="s">
        <v>2126</v>
      </c>
      <c r="G345" t="s">
        <v>2127</v>
      </c>
      <c r="H345" t="s">
        <v>2128</v>
      </c>
      <c r="I345">
        <v>113</v>
      </c>
      <c r="J345">
        <v>1</v>
      </c>
    </row>
    <row r="346" spans="1:10" x14ac:dyDescent="0.25">
      <c r="A346">
        <v>581</v>
      </c>
      <c r="B346">
        <v>581</v>
      </c>
      <c r="C346" t="s">
        <v>2854</v>
      </c>
      <c r="D346" t="s">
        <v>2916</v>
      </c>
      <c r="E346" s="1">
        <v>57921</v>
      </c>
      <c r="F346" t="s">
        <v>2855</v>
      </c>
      <c r="G346" t="s">
        <v>2856</v>
      </c>
      <c r="J346">
        <v>4</v>
      </c>
    </row>
    <row r="347" spans="1:10" x14ac:dyDescent="0.25">
      <c r="A347">
        <v>263</v>
      </c>
      <c r="B347">
        <v>263</v>
      </c>
      <c r="C347" t="s">
        <v>1323</v>
      </c>
      <c r="D347" t="s">
        <v>2916</v>
      </c>
      <c r="E347" s="1">
        <v>5782</v>
      </c>
      <c r="F347" t="s">
        <v>1324</v>
      </c>
      <c r="G347" t="s">
        <v>1325</v>
      </c>
      <c r="J347">
        <v>2</v>
      </c>
    </row>
    <row r="348" spans="1:10" x14ac:dyDescent="0.25">
      <c r="A348">
        <v>477</v>
      </c>
      <c r="B348">
        <v>477</v>
      </c>
      <c r="C348" t="s">
        <v>2361</v>
      </c>
      <c r="D348" t="s">
        <v>2917</v>
      </c>
      <c r="E348" s="1">
        <v>7016</v>
      </c>
      <c r="F348" t="s">
        <v>2362</v>
      </c>
      <c r="G348" t="s">
        <v>2363</v>
      </c>
      <c r="H348" t="s">
        <v>2364</v>
      </c>
      <c r="I348">
        <v>769</v>
      </c>
      <c r="J348">
        <v>1</v>
      </c>
    </row>
    <row r="349" spans="1:10" x14ac:dyDescent="0.25">
      <c r="A349">
        <v>341</v>
      </c>
      <c r="B349">
        <v>341</v>
      </c>
      <c r="C349" t="s">
        <v>1701</v>
      </c>
      <c r="D349" t="s">
        <v>2917</v>
      </c>
      <c r="E349" s="1">
        <v>12021</v>
      </c>
      <c r="F349" t="s">
        <v>1702</v>
      </c>
      <c r="G349" t="s">
        <v>1703</v>
      </c>
      <c r="H349" t="s">
        <v>1704</v>
      </c>
      <c r="I349">
        <v>553</v>
      </c>
      <c r="J349">
        <v>1</v>
      </c>
    </row>
    <row r="350" spans="1:10" x14ac:dyDescent="0.25">
      <c r="A350">
        <v>253</v>
      </c>
      <c r="B350">
        <v>253</v>
      </c>
      <c r="C350" t="s">
        <v>1275</v>
      </c>
      <c r="D350" t="s">
        <v>2917</v>
      </c>
      <c r="E350" s="1">
        <v>6894</v>
      </c>
      <c r="F350" t="s">
        <v>1276</v>
      </c>
      <c r="G350" t="s">
        <v>1277</v>
      </c>
      <c r="H350" t="s">
        <v>1278</v>
      </c>
      <c r="I350">
        <v>193</v>
      </c>
      <c r="J350">
        <v>2</v>
      </c>
    </row>
    <row r="351" spans="1:10" x14ac:dyDescent="0.25">
      <c r="A351">
        <v>558</v>
      </c>
      <c r="B351">
        <v>558</v>
      </c>
      <c r="C351" t="s">
        <v>2745</v>
      </c>
      <c r="D351" t="s">
        <v>2916</v>
      </c>
      <c r="E351">
        <v>172</v>
      </c>
      <c r="F351" t="s">
        <v>2746</v>
      </c>
      <c r="G351" t="s">
        <v>2747</v>
      </c>
      <c r="H351" t="s">
        <v>2748</v>
      </c>
      <c r="I351">
        <v>153</v>
      </c>
      <c r="J351">
        <v>3</v>
      </c>
    </row>
    <row r="352" spans="1:10" x14ac:dyDescent="0.25">
      <c r="A352">
        <v>147</v>
      </c>
      <c r="B352">
        <v>147</v>
      </c>
      <c r="C352" t="s">
        <v>755</v>
      </c>
      <c r="D352" t="s">
        <v>2917</v>
      </c>
      <c r="E352" s="1">
        <v>4834</v>
      </c>
      <c r="F352" t="s">
        <v>756</v>
      </c>
      <c r="G352" t="s">
        <v>757</v>
      </c>
      <c r="H352" t="s">
        <v>758</v>
      </c>
      <c r="I352" s="1">
        <v>2304</v>
      </c>
      <c r="J352">
        <v>3</v>
      </c>
    </row>
    <row r="353" spans="1:10" x14ac:dyDescent="0.25">
      <c r="A353">
        <v>452</v>
      </c>
      <c r="B353">
        <v>452</v>
      </c>
      <c r="C353" t="s">
        <v>2241</v>
      </c>
      <c r="D353" t="s">
        <v>2916</v>
      </c>
      <c r="E353" s="1">
        <v>10038</v>
      </c>
      <c r="F353" t="s">
        <v>2242</v>
      </c>
      <c r="G353" t="s">
        <v>2243</v>
      </c>
      <c r="H353" t="s">
        <v>2244</v>
      </c>
      <c r="I353" s="1">
        <v>2921</v>
      </c>
      <c r="J353">
        <v>3</v>
      </c>
    </row>
    <row r="354" spans="1:10" x14ac:dyDescent="0.25">
      <c r="A354">
        <v>231</v>
      </c>
      <c r="B354">
        <v>231</v>
      </c>
      <c r="C354" t="s">
        <v>1168</v>
      </c>
      <c r="D354" t="s">
        <v>2916</v>
      </c>
      <c r="E354" s="1">
        <v>79882</v>
      </c>
      <c r="F354" t="s">
        <v>1169</v>
      </c>
      <c r="G354" t="s">
        <v>1170</v>
      </c>
      <c r="H354" t="s">
        <v>1171</v>
      </c>
      <c r="I354" s="1">
        <v>1909</v>
      </c>
      <c r="J354">
        <v>5</v>
      </c>
    </row>
    <row r="355" spans="1:10" x14ac:dyDescent="0.25">
      <c r="A355">
        <v>548</v>
      </c>
      <c r="B355">
        <v>548</v>
      </c>
      <c r="C355" t="s">
        <v>2696</v>
      </c>
      <c r="D355" t="s">
        <v>2916</v>
      </c>
      <c r="E355" s="1">
        <v>5207</v>
      </c>
      <c r="F355" t="s">
        <v>2697</v>
      </c>
      <c r="G355" t="s">
        <v>2698</v>
      </c>
      <c r="H355" t="s">
        <v>2699</v>
      </c>
      <c r="I355" s="1">
        <v>3466</v>
      </c>
      <c r="J355">
        <v>4</v>
      </c>
    </row>
    <row r="356" spans="1:10" x14ac:dyDescent="0.25">
      <c r="A356">
        <v>449</v>
      </c>
      <c r="B356">
        <v>449</v>
      </c>
      <c r="C356" t="s">
        <v>2226</v>
      </c>
      <c r="D356" t="s">
        <v>2917</v>
      </c>
      <c r="E356" s="1">
        <v>23946</v>
      </c>
      <c r="F356" t="s">
        <v>2227</v>
      </c>
      <c r="G356" t="s">
        <v>2228</v>
      </c>
      <c r="H356" t="s">
        <v>2229</v>
      </c>
      <c r="I356">
        <v>71</v>
      </c>
      <c r="J356">
        <v>3</v>
      </c>
    </row>
    <row r="357" spans="1:10" x14ac:dyDescent="0.25">
      <c r="A357">
        <v>323</v>
      </c>
      <c r="B357">
        <v>323</v>
      </c>
      <c r="C357" t="s">
        <v>1612</v>
      </c>
      <c r="D357" t="s">
        <v>2916</v>
      </c>
      <c r="E357">
        <v>302</v>
      </c>
      <c r="F357" t="s">
        <v>1613</v>
      </c>
      <c r="G357" t="s">
        <v>1614</v>
      </c>
      <c r="H357" t="s">
        <v>1615</v>
      </c>
      <c r="I357" s="1">
        <v>1542</v>
      </c>
      <c r="J357">
        <v>5</v>
      </c>
    </row>
    <row r="358" spans="1:10" x14ac:dyDescent="0.25">
      <c r="A358">
        <v>538</v>
      </c>
      <c r="B358">
        <v>538</v>
      </c>
      <c r="C358" t="s">
        <v>2648</v>
      </c>
      <c r="D358" t="s">
        <v>2916</v>
      </c>
      <c r="E358" s="1">
        <v>14767</v>
      </c>
      <c r="F358" t="s">
        <v>2649</v>
      </c>
      <c r="G358" t="s">
        <v>2650</v>
      </c>
      <c r="H358" t="s">
        <v>2651</v>
      </c>
      <c r="I358" s="1">
        <v>2352</v>
      </c>
      <c r="J358">
        <v>2</v>
      </c>
    </row>
    <row r="359" spans="1:10" x14ac:dyDescent="0.25">
      <c r="A359">
        <v>111</v>
      </c>
      <c r="B359">
        <v>111</v>
      </c>
      <c r="C359" t="s">
        <v>578</v>
      </c>
      <c r="D359" t="s">
        <v>2916</v>
      </c>
      <c r="E359" s="1">
        <v>3921</v>
      </c>
      <c r="F359" t="s">
        <v>579</v>
      </c>
      <c r="G359" t="s">
        <v>580</v>
      </c>
      <c r="H359" t="s">
        <v>581</v>
      </c>
      <c r="I359">
        <v>741</v>
      </c>
      <c r="J359">
        <v>5</v>
      </c>
    </row>
    <row r="360" spans="1:10" x14ac:dyDescent="0.25">
      <c r="A360">
        <v>539</v>
      </c>
      <c r="B360">
        <v>539</v>
      </c>
      <c r="C360" t="s">
        <v>2653</v>
      </c>
      <c r="D360" t="s">
        <v>2916</v>
      </c>
      <c r="E360" s="1">
        <v>20095</v>
      </c>
      <c r="F360" t="s">
        <v>2654</v>
      </c>
      <c r="G360" t="s">
        <v>2655</v>
      </c>
      <c r="H360" t="s">
        <v>2656</v>
      </c>
      <c r="I360">
        <v>355</v>
      </c>
      <c r="J360">
        <v>3</v>
      </c>
    </row>
    <row r="361" spans="1:10" x14ac:dyDescent="0.25">
      <c r="A361">
        <v>527</v>
      </c>
      <c r="B361">
        <v>527</v>
      </c>
      <c r="C361" t="s">
        <v>2595</v>
      </c>
      <c r="D361" t="s">
        <v>2916</v>
      </c>
      <c r="E361" s="1">
        <v>11243</v>
      </c>
      <c r="F361" t="s">
        <v>2596</v>
      </c>
      <c r="G361" t="s">
        <v>2597</v>
      </c>
      <c r="H361" t="s">
        <v>2598</v>
      </c>
      <c r="I361" s="1">
        <v>3473</v>
      </c>
      <c r="J361">
        <v>1</v>
      </c>
    </row>
    <row r="362" spans="1:10" x14ac:dyDescent="0.25">
      <c r="A362">
        <v>271</v>
      </c>
      <c r="B362">
        <v>271</v>
      </c>
      <c r="C362" t="s">
        <v>1362</v>
      </c>
      <c r="D362" t="s">
        <v>2916</v>
      </c>
      <c r="E362" s="1">
        <v>7331</v>
      </c>
      <c r="F362" t="s">
        <v>1363</v>
      </c>
      <c r="G362" t="s">
        <v>1364</v>
      </c>
      <c r="H362" t="s">
        <v>1365</v>
      </c>
      <c r="I362">
        <v>365</v>
      </c>
      <c r="J362">
        <v>1</v>
      </c>
    </row>
    <row r="363" spans="1:10" x14ac:dyDescent="0.25">
      <c r="A363">
        <v>207</v>
      </c>
      <c r="B363">
        <v>207</v>
      </c>
      <c r="C363" t="s">
        <v>1051</v>
      </c>
      <c r="D363" t="s">
        <v>2916</v>
      </c>
      <c r="E363" s="1">
        <v>12051</v>
      </c>
      <c r="F363" t="s">
        <v>1052</v>
      </c>
      <c r="G363" t="s">
        <v>1053</v>
      </c>
      <c r="H363" t="s">
        <v>1054</v>
      </c>
      <c r="I363">
        <v>203</v>
      </c>
      <c r="J363">
        <v>2</v>
      </c>
    </row>
    <row r="364" spans="1:10" x14ac:dyDescent="0.25">
      <c r="A364">
        <v>474</v>
      </c>
      <c r="B364">
        <v>474</v>
      </c>
      <c r="C364" t="s">
        <v>2347</v>
      </c>
      <c r="D364" t="s">
        <v>2916</v>
      </c>
      <c r="E364" s="1">
        <v>2351</v>
      </c>
      <c r="F364" t="s">
        <v>2348</v>
      </c>
      <c r="G364" t="s">
        <v>2349</v>
      </c>
      <c r="H364" t="s">
        <v>2350</v>
      </c>
      <c r="I364">
        <v>255</v>
      </c>
      <c r="J364">
        <v>2</v>
      </c>
    </row>
    <row r="365" spans="1:10" x14ac:dyDescent="0.25">
      <c r="A365">
        <v>381</v>
      </c>
      <c r="B365">
        <v>381</v>
      </c>
      <c r="C365" t="s">
        <v>1898</v>
      </c>
      <c r="D365" t="s">
        <v>2916</v>
      </c>
      <c r="E365" s="1">
        <v>13457</v>
      </c>
      <c r="F365" t="s">
        <v>1899</v>
      </c>
      <c r="G365" t="s">
        <v>1900</v>
      </c>
      <c r="H365" t="s">
        <v>1901</v>
      </c>
      <c r="I365">
        <v>303</v>
      </c>
      <c r="J365">
        <v>7</v>
      </c>
    </row>
    <row r="366" spans="1:10" x14ac:dyDescent="0.25">
      <c r="A366">
        <v>355</v>
      </c>
      <c r="B366">
        <v>355</v>
      </c>
      <c r="C366" t="s">
        <v>1770</v>
      </c>
      <c r="D366" t="s">
        <v>2916</v>
      </c>
      <c r="E366" s="1">
        <v>15696</v>
      </c>
      <c r="F366" t="s">
        <v>1771</v>
      </c>
      <c r="G366" t="s">
        <v>1772</v>
      </c>
      <c r="H366" t="s">
        <v>1773</v>
      </c>
      <c r="I366">
        <v>91</v>
      </c>
      <c r="J366">
        <v>1</v>
      </c>
    </row>
    <row r="367" spans="1:10" x14ac:dyDescent="0.25">
      <c r="A367">
        <v>566</v>
      </c>
      <c r="B367">
        <v>566</v>
      </c>
      <c r="C367" t="s">
        <v>2783</v>
      </c>
      <c r="D367" t="s">
        <v>2917</v>
      </c>
      <c r="E367">
        <v>87</v>
      </c>
      <c r="F367" t="s">
        <v>2784</v>
      </c>
      <c r="G367" t="s">
        <v>2785</v>
      </c>
      <c r="H367" t="s">
        <v>2786</v>
      </c>
      <c r="I367" s="1">
        <v>2088</v>
      </c>
      <c r="J367">
        <v>2</v>
      </c>
    </row>
    <row r="368" spans="1:10" x14ac:dyDescent="0.25">
      <c r="A368">
        <v>383</v>
      </c>
      <c r="B368">
        <v>383</v>
      </c>
      <c r="C368" t="s">
        <v>1908</v>
      </c>
      <c r="D368" t="s">
        <v>2916</v>
      </c>
      <c r="E368" s="1">
        <v>14157</v>
      </c>
      <c r="F368" t="s">
        <v>1909</v>
      </c>
      <c r="G368" t="s">
        <v>1910</v>
      </c>
      <c r="H368" t="s">
        <v>1911</v>
      </c>
      <c r="I368">
        <v>267</v>
      </c>
      <c r="J368">
        <v>6</v>
      </c>
    </row>
    <row r="369" spans="1:10" x14ac:dyDescent="0.25">
      <c r="A369">
        <v>140</v>
      </c>
      <c r="B369">
        <v>140</v>
      </c>
      <c r="C369" t="s">
        <v>722</v>
      </c>
      <c r="D369" t="s">
        <v>2916</v>
      </c>
      <c r="E369" s="1">
        <v>3285</v>
      </c>
      <c r="F369" t="s">
        <v>723</v>
      </c>
      <c r="G369" t="s">
        <v>724</v>
      </c>
      <c r="H369" t="s">
        <v>725</v>
      </c>
      <c r="I369">
        <v>93</v>
      </c>
      <c r="J369">
        <v>1</v>
      </c>
    </row>
    <row r="370" spans="1:10" x14ac:dyDescent="0.25">
      <c r="A370">
        <v>435</v>
      </c>
      <c r="B370">
        <v>435</v>
      </c>
      <c r="C370" t="s">
        <v>2159</v>
      </c>
      <c r="D370" t="s">
        <v>2917</v>
      </c>
      <c r="E370" s="1">
        <v>38463</v>
      </c>
      <c r="F370" t="s">
        <v>2160</v>
      </c>
      <c r="G370" t="s">
        <v>2161</v>
      </c>
      <c r="H370" t="s">
        <v>2162</v>
      </c>
      <c r="I370">
        <v>261</v>
      </c>
      <c r="J370">
        <v>1</v>
      </c>
    </row>
    <row r="371" spans="1:10" x14ac:dyDescent="0.25">
      <c r="A371">
        <v>567</v>
      </c>
      <c r="B371">
        <v>567</v>
      </c>
      <c r="C371" t="s">
        <v>2788</v>
      </c>
      <c r="D371" t="s">
        <v>2916</v>
      </c>
      <c r="E371" s="1">
        <v>5166</v>
      </c>
      <c r="F371" t="s">
        <v>2789</v>
      </c>
      <c r="G371" t="s">
        <v>2790</v>
      </c>
      <c r="H371" t="s">
        <v>2791</v>
      </c>
      <c r="I371">
        <v>983</v>
      </c>
      <c r="J371">
        <v>1</v>
      </c>
    </row>
    <row r="372" spans="1:10" x14ac:dyDescent="0.25">
      <c r="A372">
        <v>169</v>
      </c>
      <c r="B372">
        <v>169</v>
      </c>
      <c r="C372" t="s">
        <v>863</v>
      </c>
      <c r="D372" t="s">
        <v>2917</v>
      </c>
      <c r="E372" s="1">
        <v>2502</v>
      </c>
      <c r="F372" t="s">
        <v>864</v>
      </c>
      <c r="G372" t="s">
        <v>865</v>
      </c>
      <c r="H372" t="s">
        <v>866</v>
      </c>
      <c r="I372">
        <v>412</v>
      </c>
      <c r="J372">
        <v>1</v>
      </c>
    </row>
    <row r="373" spans="1:10" x14ac:dyDescent="0.25">
      <c r="A373">
        <v>292</v>
      </c>
      <c r="B373">
        <v>292</v>
      </c>
      <c r="C373" t="s">
        <v>1461</v>
      </c>
      <c r="D373" t="s">
        <v>2916</v>
      </c>
      <c r="E373" s="1">
        <v>1709</v>
      </c>
      <c r="F373" t="s">
        <v>1462</v>
      </c>
      <c r="G373" t="s">
        <v>1463</v>
      </c>
      <c r="H373" t="s">
        <v>1464</v>
      </c>
      <c r="I373">
        <v>723</v>
      </c>
      <c r="J373">
        <v>1</v>
      </c>
    </row>
    <row r="374" spans="1:10" x14ac:dyDescent="0.25">
      <c r="A374">
        <v>542</v>
      </c>
      <c r="B374">
        <v>542</v>
      </c>
      <c r="C374" t="s">
        <v>2667</v>
      </c>
      <c r="D374" t="s">
        <v>2916</v>
      </c>
      <c r="E374" s="1">
        <v>18726</v>
      </c>
      <c r="F374" t="s">
        <v>2668</v>
      </c>
      <c r="G374" t="s">
        <v>2669</v>
      </c>
      <c r="H374" t="s">
        <v>2670</v>
      </c>
      <c r="I374">
        <v>361</v>
      </c>
      <c r="J374">
        <v>2</v>
      </c>
    </row>
    <row r="375" spans="1:10" x14ac:dyDescent="0.25">
      <c r="A375">
        <v>386</v>
      </c>
      <c r="B375">
        <v>386</v>
      </c>
      <c r="C375" t="s">
        <v>1922</v>
      </c>
      <c r="D375" t="s">
        <v>2917</v>
      </c>
      <c r="E375" s="1">
        <v>1082</v>
      </c>
      <c r="F375" t="s">
        <v>1923</v>
      </c>
      <c r="G375" t="s">
        <v>1924</v>
      </c>
      <c r="H375" t="s">
        <v>1925</v>
      </c>
      <c r="I375">
        <v>131</v>
      </c>
      <c r="J375">
        <v>1</v>
      </c>
    </row>
    <row r="376" spans="1:10" x14ac:dyDescent="0.25">
      <c r="A376">
        <v>113</v>
      </c>
      <c r="B376">
        <v>113</v>
      </c>
      <c r="C376" t="s">
        <v>588</v>
      </c>
      <c r="D376" t="s">
        <v>2916</v>
      </c>
      <c r="E376" s="1">
        <v>14705</v>
      </c>
      <c r="F376" t="s">
        <v>589</v>
      </c>
      <c r="G376" t="s">
        <v>590</v>
      </c>
      <c r="H376" t="s">
        <v>591</v>
      </c>
      <c r="I376" s="1">
        <v>4328</v>
      </c>
      <c r="J376">
        <v>1</v>
      </c>
    </row>
    <row r="377" spans="1:10" x14ac:dyDescent="0.25">
      <c r="A377">
        <v>164</v>
      </c>
      <c r="B377">
        <v>164</v>
      </c>
      <c r="C377" t="s">
        <v>839</v>
      </c>
      <c r="D377" t="s">
        <v>2916</v>
      </c>
      <c r="E377">
        <v>948</v>
      </c>
      <c r="F377" t="s">
        <v>840</v>
      </c>
      <c r="G377" t="s">
        <v>841</v>
      </c>
      <c r="H377" t="s">
        <v>842</v>
      </c>
      <c r="I377">
        <v>155</v>
      </c>
      <c r="J377">
        <v>2</v>
      </c>
    </row>
    <row r="378" spans="1:10" x14ac:dyDescent="0.25">
      <c r="A378">
        <v>534</v>
      </c>
      <c r="B378">
        <v>534</v>
      </c>
      <c r="C378" t="s">
        <v>2629</v>
      </c>
      <c r="D378" t="s">
        <v>2916</v>
      </c>
      <c r="E378" s="1">
        <v>8231</v>
      </c>
      <c r="F378" t="s">
        <v>2630</v>
      </c>
      <c r="G378" t="s">
        <v>2631</v>
      </c>
      <c r="H378" t="s">
        <v>2632</v>
      </c>
      <c r="I378">
        <v>85</v>
      </c>
      <c r="J378">
        <v>1</v>
      </c>
    </row>
    <row r="379" spans="1:10" x14ac:dyDescent="0.25">
      <c r="A379">
        <v>96</v>
      </c>
      <c r="B379">
        <v>96</v>
      </c>
      <c r="C379" t="s">
        <v>505</v>
      </c>
      <c r="D379" t="s">
        <v>2917</v>
      </c>
      <c r="E379">
        <v>431</v>
      </c>
      <c r="F379" t="s">
        <v>506</v>
      </c>
      <c r="G379" t="s">
        <v>507</v>
      </c>
      <c r="H379" t="s">
        <v>508</v>
      </c>
      <c r="I379" s="1">
        <v>97182</v>
      </c>
      <c r="J379">
        <v>1</v>
      </c>
    </row>
    <row r="380" spans="1:10" x14ac:dyDescent="0.25">
      <c r="A380">
        <v>228</v>
      </c>
      <c r="B380">
        <v>228</v>
      </c>
      <c r="C380" t="s">
        <v>1154</v>
      </c>
      <c r="D380" t="s">
        <v>2916</v>
      </c>
      <c r="E380" s="1">
        <v>6574</v>
      </c>
      <c r="F380" t="s">
        <v>1155</v>
      </c>
      <c r="G380" t="s">
        <v>1156</v>
      </c>
      <c r="H380" t="s">
        <v>1157</v>
      </c>
      <c r="I380">
        <v>75</v>
      </c>
      <c r="J380">
        <v>3</v>
      </c>
    </row>
    <row r="381" spans="1:10" x14ac:dyDescent="0.25">
      <c r="A381">
        <v>480</v>
      </c>
      <c r="B381">
        <v>480</v>
      </c>
      <c r="C381" t="s">
        <v>2375</v>
      </c>
      <c r="D381" t="s">
        <v>2917</v>
      </c>
      <c r="E381" s="1">
        <v>24809</v>
      </c>
      <c r="F381" t="s">
        <v>2376</v>
      </c>
      <c r="G381" t="s">
        <v>2377</v>
      </c>
      <c r="H381" t="s">
        <v>2378</v>
      </c>
      <c r="I381">
        <v>621</v>
      </c>
      <c r="J381">
        <v>2</v>
      </c>
    </row>
    <row r="382" spans="1:10" x14ac:dyDescent="0.25">
      <c r="A382">
        <v>190</v>
      </c>
      <c r="B382">
        <v>190</v>
      </c>
      <c r="C382" t="s">
        <v>968</v>
      </c>
      <c r="D382" t="s">
        <v>2916</v>
      </c>
      <c r="E382" s="1">
        <v>6913</v>
      </c>
      <c r="F382" t="s">
        <v>969</v>
      </c>
      <c r="G382" t="s">
        <v>970</v>
      </c>
      <c r="H382" t="s">
        <v>971</v>
      </c>
      <c r="I382">
        <v>499</v>
      </c>
      <c r="J382">
        <v>1</v>
      </c>
    </row>
    <row r="383" spans="1:10" x14ac:dyDescent="0.25">
      <c r="A383">
        <v>544</v>
      </c>
      <c r="B383">
        <v>544</v>
      </c>
      <c r="C383" t="s">
        <v>2677</v>
      </c>
      <c r="D383" t="s">
        <v>2916</v>
      </c>
      <c r="E383" s="1">
        <v>9416</v>
      </c>
      <c r="F383" t="s">
        <v>2678</v>
      </c>
      <c r="G383" t="s">
        <v>2679</v>
      </c>
      <c r="H383" t="s">
        <v>2680</v>
      </c>
      <c r="I383">
        <v>115</v>
      </c>
      <c r="J383">
        <v>1</v>
      </c>
    </row>
    <row r="384" spans="1:10" x14ac:dyDescent="0.25">
      <c r="A384">
        <v>171</v>
      </c>
      <c r="B384">
        <v>171</v>
      </c>
      <c r="C384" t="s">
        <v>873</v>
      </c>
      <c r="D384" t="s">
        <v>2916</v>
      </c>
      <c r="E384" s="1">
        <v>23467</v>
      </c>
      <c r="F384" t="s">
        <v>874</v>
      </c>
      <c r="G384" t="s">
        <v>875</v>
      </c>
      <c r="H384" t="s">
        <v>876</v>
      </c>
      <c r="I384" s="1">
        <v>1460</v>
      </c>
      <c r="J384">
        <v>2</v>
      </c>
    </row>
    <row r="385" spans="1:10" x14ac:dyDescent="0.25">
      <c r="A385">
        <v>203</v>
      </c>
      <c r="B385">
        <v>203</v>
      </c>
      <c r="C385" t="s">
        <v>1031</v>
      </c>
      <c r="D385" t="s">
        <v>2916</v>
      </c>
      <c r="E385" s="1">
        <v>14520</v>
      </c>
      <c r="F385" t="s">
        <v>1032</v>
      </c>
      <c r="G385" t="s">
        <v>1033</v>
      </c>
      <c r="H385" t="s">
        <v>1034</v>
      </c>
      <c r="I385" s="1">
        <v>3228</v>
      </c>
      <c r="J385">
        <v>3</v>
      </c>
    </row>
    <row r="386" spans="1:10" x14ac:dyDescent="0.25">
      <c r="A386">
        <v>463</v>
      </c>
      <c r="B386">
        <v>463</v>
      </c>
      <c r="C386" t="s">
        <v>2294</v>
      </c>
      <c r="D386" t="s">
        <v>2916</v>
      </c>
      <c r="E386" s="1">
        <v>22442</v>
      </c>
      <c r="F386" t="s">
        <v>2295</v>
      </c>
      <c r="G386" t="s">
        <v>2296</v>
      </c>
      <c r="H386" t="s">
        <v>2297</v>
      </c>
      <c r="I386" s="1">
        <v>1601</v>
      </c>
      <c r="J386">
        <v>2</v>
      </c>
    </row>
    <row r="387" spans="1:10" x14ac:dyDescent="0.25">
      <c r="A387">
        <v>235</v>
      </c>
      <c r="B387">
        <v>235</v>
      </c>
      <c r="C387" t="s">
        <v>1188</v>
      </c>
      <c r="D387" t="s">
        <v>2916</v>
      </c>
      <c r="E387" s="1">
        <v>4931</v>
      </c>
      <c r="F387" t="s">
        <v>1189</v>
      </c>
      <c r="G387" t="s">
        <v>1190</v>
      </c>
      <c r="H387" t="s">
        <v>1191</v>
      </c>
      <c r="I387">
        <v>513</v>
      </c>
      <c r="J387">
        <v>3</v>
      </c>
    </row>
    <row r="388" spans="1:10" x14ac:dyDescent="0.25">
      <c r="A388">
        <v>138</v>
      </c>
      <c r="B388">
        <v>138</v>
      </c>
      <c r="C388" t="s">
        <v>712</v>
      </c>
      <c r="D388" t="s">
        <v>2917</v>
      </c>
      <c r="E388" s="1">
        <v>1129</v>
      </c>
      <c r="F388" t="s">
        <v>713</v>
      </c>
      <c r="G388" t="s">
        <v>714</v>
      </c>
      <c r="H388" t="s">
        <v>715</v>
      </c>
      <c r="I388">
        <v>534</v>
      </c>
      <c r="J388">
        <v>3</v>
      </c>
    </row>
    <row r="389" spans="1:10" x14ac:dyDescent="0.25">
      <c r="A389">
        <v>245</v>
      </c>
      <c r="B389">
        <v>245</v>
      </c>
      <c r="C389" t="s">
        <v>1236</v>
      </c>
      <c r="D389" t="s">
        <v>2916</v>
      </c>
      <c r="E389" s="1">
        <v>9464</v>
      </c>
      <c r="F389" t="s">
        <v>1237</v>
      </c>
      <c r="G389" t="s">
        <v>1238</v>
      </c>
      <c r="H389" t="s">
        <v>1239</v>
      </c>
      <c r="I389" s="1">
        <v>1902</v>
      </c>
      <c r="J389">
        <v>3</v>
      </c>
    </row>
    <row r="390" spans="1:10" x14ac:dyDescent="0.25">
      <c r="A390">
        <v>545</v>
      </c>
      <c r="B390">
        <v>545</v>
      </c>
      <c r="C390" t="s">
        <v>2682</v>
      </c>
      <c r="D390" t="s">
        <v>2918</v>
      </c>
      <c r="E390" s="1">
        <v>1423</v>
      </c>
      <c r="F390" t="s">
        <v>2683</v>
      </c>
      <c r="G390" t="s">
        <v>2684</v>
      </c>
      <c r="H390" t="s">
        <v>2685</v>
      </c>
      <c r="I390">
        <v>374</v>
      </c>
      <c r="J390">
        <v>0</v>
      </c>
    </row>
    <row r="391" spans="1:10" x14ac:dyDescent="0.25">
      <c r="A391">
        <v>116</v>
      </c>
      <c r="B391">
        <v>116</v>
      </c>
      <c r="C391" t="s">
        <v>603</v>
      </c>
      <c r="D391" t="s">
        <v>2916</v>
      </c>
      <c r="E391" s="1">
        <v>1921</v>
      </c>
      <c r="F391" t="s">
        <v>604</v>
      </c>
      <c r="G391" t="s">
        <v>605</v>
      </c>
      <c r="H391" t="s">
        <v>606</v>
      </c>
      <c r="I391">
        <v>791</v>
      </c>
      <c r="J391">
        <v>1</v>
      </c>
    </row>
    <row r="392" spans="1:10" x14ac:dyDescent="0.25">
      <c r="A392">
        <v>509</v>
      </c>
      <c r="B392">
        <v>509</v>
      </c>
      <c r="C392" t="s">
        <v>2507</v>
      </c>
      <c r="D392" t="s">
        <v>2916</v>
      </c>
      <c r="E392" s="1">
        <v>9028</v>
      </c>
      <c r="F392" t="s">
        <v>2508</v>
      </c>
      <c r="G392" t="s">
        <v>2509</v>
      </c>
      <c r="H392" t="s">
        <v>2510</v>
      </c>
      <c r="I392" s="1">
        <v>7608</v>
      </c>
      <c r="J392">
        <v>3</v>
      </c>
    </row>
    <row r="393" spans="1:10" x14ac:dyDescent="0.25">
      <c r="A393">
        <v>65</v>
      </c>
      <c r="B393">
        <v>65</v>
      </c>
      <c r="C393" t="s">
        <v>351</v>
      </c>
      <c r="D393" t="s">
        <v>2916</v>
      </c>
      <c r="E393" s="1">
        <v>12699</v>
      </c>
      <c r="F393" t="s">
        <v>352</v>
      </c>
      <c r="G393" t="s">
        <v>353</v>
      </c>
      <c r="H393" t="s">
        <v>354</v>
      </c>
      <c r="I393" s="1">
        <v>28415</v>
      </c>
      <c r="J393">
        <v>1</v>
      </c>
    </row>
    <row r="394" spans="1:10" x14ac:dyDescent="0.25">
      <c r="A394">
        <v>377</v>
      </c>
      <c r="B394">
        <v>377</v>
      </c>
      <c r="C394" t="s">
        <v>1878</v>
      </c>
      <c r="D394" t="s">
        <v>2917</v>
      </c>
      <c r="E394" s="1">
        <v>1104</v>
      </c>
      <c r="F394" t="s">
        <v>1879</v>
      </c>
      <c r="G394" t="s">
        <v>1880</v>
      </c>
      <c r="H394" t="s">
        <v>1881</v>
      </c>
      <c r="I394" s="1">
        <v>5841</v>
      </c>
      <c r="J394">
        <v>1</v>
      </c>
    </row>
    <row r="395" spans="1:10" x14ac:dyDescent="0.25">
      <c r="A395">
        <v>472</v>
      </c>
      <c r="B395">
        <v>472</v>
      </c>
      <c r="C395" t="s">
        <v>2338</v>
      </c>
      <c r="D395" t="s">
        <v>2916</v>
      </c>
      <c r="E395" s="1">
        <v>8040</v>
      </c>
      <c r="F395" t="s">
        <v>2339</v>
      </c>
      <c r="G395" t="s">
        <v>2340</v>
      </c>
      <c r="H395" t="s">
        <v>2341</v>
      </c>
      <c r="I395">
        <v>240</v>
      </c>
      <c r="J395">
        <v>3</v>
      </c>
    </row>
    <row r="396" spans="1:10" x14ac:dyDescent="0.25">
      <c r="A396">
        <v>421</v>
      </c>
      <c r="B396">
        <v>421</v>
      </c>
      <c r="C396" t="s">
        <v>2092</v>
      </c>
      <c r="D396" t="s">
        <v>2917</v>
      </c>
      <c r="E396" s="1">
        <v>8546</v>
      </c>
      <c r="F396" t="s">
        <v>2093</v>
      </c>
      <c r="G396" t="s">
        <v>2094</v>
      </c>
      <c r="H396" t="s">
        <v>2095</v>
      </c>
      <c r="I396">
        <v>121</v>
      </c>
      <c r="J396">
        <v>2</v>
      </c>
    </row>
    <row r="397" spans="1:10" x14ac:dyDescent="0.25">
      <c r="A397">
        <v>485</v>
      </c>
      <c r="B397">
        <v>485</v>
      </c>
      <c r="C397" t="s">
        <v>2396</v>
      </c>
      <c r="D397" t="s">
        <v>2917</v>
      </c>
      <c r="E397" s="1">
        <v>8252</v>
      </c>
      <c r="F397" t="s">
        <v>2397</v>
      </c>
      <c r="G397" t="s">
        <v>2398</v>
      </c>
      <c r="H397" t="s">
        <v>2399</v>
      </c>
      <c r="I397" s="1">
        <v>1824</v>
      </c>
      <c r="J397">
        <v>4</v>
      </c>
    </row>
    <row r="398" spans="1:10" x14ac:dyDescent="0.25">
      <c r="A398">
        <v>389</v>
      </c>
      <c r="B398">
        <v>389</v>
      </c>
      <c r="C398" t="s">
        <v>1936</v>
      </c>
      <c r="D398" t="s">
        <v>2916</v>
      </c>
      <c r="E398" s="1">
        <v>10417</v>
      </c>
      <c r="F398" t="s">
        <v>1937</v>
      </c>
      <c r="G398" t="s">
        <v>1938</v>
      </c>
      <c r="H398" t="s">
        <v>1939</v>
      </c>
      <c r="I398" s="1">
        <v>7394</v>
      </c>
      <c r="J398">
        <v>2</v>
      </c>
    </row>
    <row r="399" spans="1:10" x14ac:dyDescent="0.25">
      <c r="A399">
        <v>461</v>
      </c>
      <c r="B399">
        <v>461</v>
      </c>
      <c r="C399" t="s">
        <v>2284</v>
      </c>
      <c r="D399" t="s">
        <v>2916</v>
      </c>
      <c r="E399" s="1">
        <v>41144</v>
      </c>
      <c r="F399" t="s">
        <v>2285</v>
      </c>
      <c r="G399" t="s">
        <v>2286</v>
      </c>
      <c r="H399" t="s">
        <v>2287</v>
      </c>
      <c r="I399">
        <v>967</v>
      </c>
      <c r="J399">
        <v>5</v>
      </c>
    </row>
    <row r="400" spans="1:10" x14ac:dyDescent="0.25">
      <c r="A400">
        <v>417</v>
      </c>
      <c r="B400">
        <v>417</v>
      </c>
      <c r="C400" t="s">
        <v>2072</v>
      </c>
      <c r="D400" t="s">
        <v>2916</v>
      </c>
      <c r="E400" s="1">
        <v>1583</v>
      </c>
      <c r="F400" t="s">
        <v>2073</v>
      </c>
      <c r="G400" t="s">
        <v>2074</v>
      </c>
      <c r="H400" t="s">
        <v>2075</v>
      </c>
      <c r="I400">
        <v>681</v>
      </c>
      <c r="J400">
        <v>2</v>
      </c>
    </row>
    <row r="401" spans="1:10" x14ac:dyDescent="0.25">
      <c r="A401">
        <v>488</v>
      </c>
      <c r="B401">
        <v>488</v>
      </c>
      <c r="C401" t="s">
        <v>2410</v>
      </c>
      <c r="D401" t="s">
        <v>2917</v>
      </c>
      <c r="E401" s="1">
        <v>2312</v>
      </c>
      <c r="F401" t="s">
        <v>2411</v>
      </c>
      <c r="G401" t="s">
        <v>2412</v>
      </c>
      <c r="H401" t="s">
        <v>2399</v>
      </c>
      <c r="I401" s="1">
        <v>1824</v>
      </c>
      <c r="J401">
        <v>4</v>
      </c>
    </row>
    <row r="402" spans="1:10" x14ac:dyDescent="0.25">
      <c r="A402">
        <v>21</v>
      </c>
      <c r="B402">
        <v>21</v>
      </c>
      <c r="C402" t="s">
        <v>128</v>
      </c>
      <c r="D402" t="s">
        <v>2916</v>
      </c>
      <c r="E402" s="1">
        <v>32214</v>
      </c>
      <c r="F402" t="s">
        <v>129</v>
      </c>
      <c r="G402" t="s">
        <v>130</v>
      </c>
      <c r="H402" t="s">
        <v>131</v>
      </c>
      <c r="I402" s="1">
        <v>12693</v>
      </c>
      <c r="J402">
        <v>2</v>
      </c>
    </row>
    <row r="403" spans="1:10" x14ac:dyDescent="0.25">
      <c r="A403">
        <v>10</v>
      </c>
      <c r="B403">
        <v>10</v>
      </c>
      <c r="C403" t="s">
        <v>71</v>
      </c>
      <c r="D403" t="s">
        <v>2916</v>
      </c>
      <c r="E403" s="1">
        <v>9573</v>
      </c>
      <c r="F403" t="s">
        <v>72</v>
      </c>
      <c r="G403" t="s">
        <v>73</v>
      </c>
      <c r="H403" t="s">
        <v>74</v>
      </c>
      <c r="I403" s="1">
        <v>10936</v>
      </c>
      <c r="J403">
        <v>1</v>
      </c>
    </row>
    <row r="404" spans="1:10" x14ac:dyDescent="0.25">
      <c r="A404">
        <v>232</v>
      </c>
      <c r="B404">
        <v>232</v>
      </c>
      <c r="C404" t="s">
        <v>1173</v>
      </c>
      <c r="D404" t="s">
        <v>2916</v>
      </c>
      <c r="E404" s="1">
        <v>10319</v>
      </c>
      <c r="F404" t="s">
        <v>1174</v>
      </c>
      <c r="G404" t="s">
        <v>1175</v>
      </c>
      <c r="H404" t="s">
        <v>1176</v>
      </c>
      <c r="I404">
        <v>159</v>
      </c>
      <c r="J404">
        <v>1</v>
      </c>
    </row>
    <row r="405" spans="1:10" x14ac:dyDescent="0.25">
      <c r="A405">
        <v>584</v>
      </c>
      <c r="B405">
        <v>584</v>
      </c>
      <c r="C405" t="s">
        <v>2868</v>
      </c>
      <c r="D405" t="s">
        <v>2916</v>
      </c>
      <c r="E405" s="1">
        <v>2080</v>
      </c>
      <c r="F405" t="s">
        <v>2869</v>
      </c>
      <c r="G405" t="s">
        <v>2870</v>
      </c>
      <c r="H405" t="s">
        <v>2871</v>
      </c>
      <c r="I405">
        <v>795</v>
      </c>
      <c r="J405">
        <v>2</v>
      </c>
    </row>
    <row r="406" spans="1:10" x14ac:dyDescent="0.25">
      <c r="A406">
        <v>320</v>
      </c>
      <c r="B406">
        <v>320</v>
      </c>
      <c r="C406" t="s">
        <v>1597</v>
      </c>
      <c r="D406" t="s">
        <v>2916</v>
      </c>
      <c r="E406" s="1">
        <v>57404</v>
      </c>
      <c r="F406" t="s">
        <v>1598</v>
      </c>
      <c r="G406" t="s">
        <v>1599</v>
      </c>
      <c r="H406" t="s">
        <v>1600</v>
      </c>
      <c r="I406">
        <v>625</v>
      </c>
      <c r="J406">
        <v>2</v>
      </c>
    </row>
    <row r="407" spans="1:10" x14ac:dyDescent="0.25">
      <c r="A407">
        <v>200</v>
      </c>
      <c r="B407">
        <v>200</v>
      </c>
      <c r="C407" t="s">
        <v>1017</v>
      </c>
      <c r="D407" t="s">
        <v>2917</v>
      </c>
      <c r="E407" s="1">
        <v>3585</v>
      </c>
      <c r="F407" t="s">
        <v>1018</v>
      </c>
      <c r="G407" t="s">
        <v>1019</v>
      </c>
      <c r="H407" t="s">
        <v>1020</v>
      </c>
      <c r="I407">
        <v>939</v>
      </c>
      <c r="J407">
        <v>2</v>
      </c>
    </row>
    <row r="408" spans="1:10" x14ac:dyDescent="0.25">
      <c r="A408">
        <v>491</v>
      </c>
      <c r="B408">
        <v>491</v>
      </c>
      <c r="C408" t="s">
        <v>2424</v>
      </c>
      <c r="D408" t="s">
        <v>2916</v>
      </c>
      <c r="E408" s="1">
        <v>30698</v>
      </c>
      <c r="F408" t="s">
        <v>2425</v>
      </c>
      <c r="G408" t="s">
        <v>2426</v>
      </c>
      <c r="H408" t="s">
        <v>2427</v>
      </c>
      <c r="I408">
        <v>875</v>
      </c>
      <c r="J408">
        <v>5</v>
      </c>
    </row>
    <row r="409" spans="1:10" x14ac:dyDescent="0.25">
      <c r="A409">
        <v>316</v>
      </c>
      <c r="B409">
        <v>316</v>
      </c>
      <c r="C409" t="s">
        <v>1578</v>
      </c>
      <c r="D409" t="s">
        <v>2916</v>
      </c>
      <c r="E409" s="1">
        <v>74163</v>
      </c>
      <c r="F409" t="s">
        <v>1579</v>
      </c>
      <c r="G409" t="s">
        <v>1580</v>
      </c>
      <c r="H409" t="s">
        <v>1581</v>
      </c>
      <c r="I409" s="1">
        <v>8591</v>
      </c>
      <c r="J409">
        <v>3</v>
      </c>
    </row>
    <row r="410" spans="1:10" x14ac:dyDescent="0.25">
      <c r="A410">
        <v>248</v>
      </c>
      <c r="B410">
        <v>248</v>
      </c>
      <c r="C410" t="s">
        <v>1250</v>
      </c>
      <c r="D410" t="s">
        <v>2916</v>
      </c>
      <c r="E410" s="1">
        <v>3280</v>
      </c>
      <c r="F410" t="s">
        <v>1251</v>
      </c>
      <c r="G410" t="s">
        <v>1252</v>
      </c>
      <c r="H410" t="s">
        <v>1253</v>
      </c>
      <c r="I410" s="1">
        <v>1226</v>
      </c>
      <c r="J410">
        <v>6</v>
      </c>
    </row>
    <row r="411" spans="1:10" x14ac:dyDescent="0.25">
      <c r="A411">
        <v>193</v>
      </c>
      <c r="B411">
        <v>193</v>
      </c>
      <c r="C411" t="s">
        <v>982</v>
      </c>
      <c r="D411" t="s">
        <v>2916</v>
      </c>
      <c r="E411" s="1">
        <v>18827</v>
      </c>
      <c r="F411" t="s">
        <v>983</v>
      </c>
      <c r="G411" t="s">
        <v>984</v>
      </c>
      <c r="H411" t="s">
        <v>985</v>
      </c>
      <c r="I411">
        <v>911</v>
      </c>
      <c r="J411">
        <v>4</v>
      </c>
    </row>
    <row r="412" spans="1:10" x14ac:dyDescent="0.25">
      <c r="A412">
        <v>317</v>
      </c>
      <c r="B412">
        <v>317</v>
      </c>
      <c r="C412" t="s">
        <v>1583</v>
      </c>
      <c r="D412" t="s">
        <v>2917</v>
      </c>
      <c r="E412" s="1">
        <v>10282</v>
      </c>
      <c r="F412" t="s">
        <v>1584</v>
      </c>
      <c r="G412" t="s">
        <v>1585</v>
      </c>
      <c r="H412" t="s">
        <v>1586</v>
      </c>
      <c r="I412" s="1">
        <v>1933</v>
      </c>
      <c r="J412">
        <v>2</v>
      </c>
    </row>
    <row r="413" spans="1:10" x14ac:dyDescent="0.25">
      <c r="A413">
        <v>329</v>
      </c>
      <c r="B413">
        <v>329</v>
      </c>
      <c r="C413" t="s">
        <v>1642</v>
      </c>
      <c r="D413" t="s">
        <v>2916</v>
      </c>
      <c r="E413" s="1">
        <v>3801</v>
      </c>
      <c r="F413" t="s">
        <v>1643</v>
      </c>
      <c r="G413" t="s">
        <v>1644</v>
      </c>
      <c r="H413" t="s">
        <v>1645</v>
      </c>
      <c r="I413">
        <v>663</v>
      </c>
      <c r="J413">
        <v>1</v>
      </c>
    </row>
    <row r="414" spans="1:10" x14ac:dyDescent="0.25">
      <c r="A414">
        <v>412</v>
      </c>
      <c r="B414">
        <v>412</v>
      </c>
      <c r="C414" t="s">
        <v>2049</v>
      </c>
      <c r="D414" t="s">
        <v>2916</v>
      </c>
      <c r="E414" s="1">
        <v>1836</v>
      </c>
      <c r="F414" t="s">
        <v>2050</v>
      </c>
      <c r="G414" t="s">
        <v>2051</v>
      </c>
      <c r="H414" t="s">
        <v>2052</v>
      </c>
      <c r="I414">
        <v>143</v>
      </c>
      <c r="J414">
        <v>3</v>
      </c>
    </row>
    <row r="415" spans="1:10" x14ac:dyDescent="0.25">
      <c r="A415">
        <v>379</v>
      </c>
      <c r="B415">
        <v>379</v>
      </c>
      <c r="C415" t="s">
        <v>1888</v>
      </c>
      <c r="D415" t="s">
        <v>2916</v>
      </c>
      <c r="E415" s="1">
        <v>1843</v>
      </c>
      <c r="F415" t="s">
        <v>1889</v>
      </c>
      <c r="G415" t="s">
        <v>1890</v>
      </c>
      <c r="H415" t="s">
        <v>1891</v>
      </c>
      <c r="I415">
        <v>855</v>
      </c>
      <c r="J415">
        <v>1</v>
      </c>
    </row>
    <row r="416" spans="1:10" x14ac:dyDescent="0.25">
      <c r="A416">
        <v>308</v>
      </c>
      <c r="B416">
        <v>308</v>
      </c>
      <c r="C416" t="s">
        <v>1539</v>
      </c>
      <c r="D416" t="s">
        <v>2917</v>
      </c>
      <c r="E416" s="1">
        <v>12667</v>
      </c>
      <c r="F416" t="s">
        <v>1540</v>
      </c>
      <c r="G416" t="s">
        <v>1541</v>
      </c>
      <c r="H416" t="s">
        <v>1542</v>
      </c>
      <c r="I416">
        <v>263</v>
      </c>
      <c r="J416">
        <v>2</v>
      </c>
    </row>
    <row r="417" spans="1:10" x14ac:dyDescent="0.25">
      <c r="A417">
        <v>371</v>
      </c>
      <c r="B417">
        <v>371</v>
      </c>
      <c r="C417" t="s">
        <v>1848</v>
      </c>
      <c r="D417" t="s">
        <v>2917</v>
      </c>
      <c r="E417" s="1">
        <v>14501</v>
      </c>
      <c r="F417" t="s">
        <v>1849</v>
      </c>
      <c r="G417" t="s">
        <v>1850</v>
      </c>
      <c r="H417" t="s">
        <v>1851</v>
      </c>
      <c r="I417" s="1">
        <v>6706</v>
      </c>
      <c r="J417">
        <v>4</v>
      </c>
    </row>
    <row r="418" spans="1:10" x14ac:dyDescent="0.25">
      <c r="A418">
        <v>123</v>
      </c>
      <c r="B418">
        <v>123</v>
      </c>
      <c r="C418" t="s">
        <v>638</v>
      </c>
      <c r="D418" t="s">
        <v>2916</v>
      </c>
      <c r="E418">
        <v>891</v>
      </c>
      <c r="F418" t="s">
        <v>639</v>
      </c>
      <c r="G418" t="s">
        <v>640</v>
      </c>
      <c r="H418" t="s">
        <v>641</v>
      </c>
      <c r="I418" s="1">
        <v>2136</v>
      </c>
      <c r="J418">
        <v>1</v>
      </c>
    </row>
    <row r="419" spans="1:10" x14ac:dyDescent="0.25">
      <c r="A419">
        <v>69</v>
      </c>
      <c r="B419">
        <v>69</v>
      </c>
      <c r="C419" t="s">
        <v>372</v>
      </c>
      <c r="D419" t="s">
        <v>2917</v>
      </c>
      <c r="E419">
        <v>799</v>
      </c>
      <c r="F419" t="s">
        <v>373</v>
      </c>
      <c r="G419" t="s">
        <v>374</v>
      </c>
      <c r="H419" t="s">
        <v>375</v>
      </c>
      <c r="I419" s="1">
        <v>32247</v>
      </c>
      <c r="J419">
        <v>4</v>
      </c>
    </row>
    <row r="420" spans="1:10" x14ac:dyDescent="0.25">
      <c r="A420">
        <v>153</v>
      </c>
      <c r="B420">
        <v>153</v>
      </c>
      <c r="C420" t="s">
        <v>785</v>
      </c>
      <c r="D420" t="s">
        <v>2916</v>
      </c>
      <c r="E420" s="1">
        <v>3268</v>
      </c>
      <c r="F420" t="s">
        <v>786</v>
      </c>
      <c r="G420" t="s">
        <v>787</v>
      </c>
      <c r="H420" t="s">
        <v>788</v>
      </c>
      <c r="I420">
        <v>117</v>
      </c>
      <c r="J420">
        <v>1</v>
      </c>
    </row>
    <row r="421" spans="1:10" x14ac:dyDescent="0.25">
      <c r="A421">
        <v>484</v>
      </c>
      <c r="B421">
        <v>484</v>
      </c>
      <c r="C421" t="s">
        <v>2392</v>
      </c>
      <c r="D421" t="s">
        <v>2916</v>
      </c>
      <c r="E421" s="1">
        <v>126654</v>
      </c>
      <c r="F421" t="s">
        <v>2393</v>
      </c>
      <c r="G421" t="s">
        <v>2394</v>
      </c>
      <c r="H421" t="s">
        <v>2395</v>
      </c>
      <c r="I421">
        <v>209</v>
      </c>
      <c r="J421">
        <v>4</v>
      </c>
    </row>
    <row r="422" spans="1:10" x14ac:dyDescent="0.25">
      <c r="A422">
        <v>150</v>
      </c>
      <c r="B422">
        <v>150</v>
      </c>
      <c r="C422" t="s">
        <v>770</v>
      </c>
      <c r="D422" t="s">
        <v>2916</v>
      </c>
      <c r="E422" s="1">
        <v>22738</v>
      </c>
      <c r="F422" t="s">
        <v>771</v>
      </c>
      <c r="G422" t="s">
        <v>772</v>
      </c>
      <c r="H422" t="s">
        <v>773</v>
      </c>
      <c r="I422" s="1">
        <v>3788</v>
      </c>
      <c r="J422">
        <v>1</v>
      </c>
    </row>
    <row r="423" spans="1:10" x14ac:dyDescent="0.25">
      <c r="A423">
        <v>511</v>
      </c>
      <c r="B423">
        <v>511</v>
      </c>
      <c r="C423" t="s">
        <v>2517</v>
      </c>
      <c r="D423" t="s">
        <v>2917</v>
      </c>
      <c r="E423" s="1">
        <v>1625</v>
      </c>
      <c r="F423" t="s">
        <v>2518</v>
      </c>
      <c r="G423" t="s">
        <v>2519</v>
      </c>
      <c r="H423" t="s">
        <v>2520</v>
      </c>
      <c r="I423">
        <v>577</v>
      </c>
      <c r="J423">
        <v>3</v>
      </c>
    </row>
    <row r="424" spans="1:10" x14ac:dyDescent="0.25">
      <c r="A424">
        <v>571</v>
      </c>
      <c r="B424">
        <v>571</v>
      </c>
      <c r="C424" t="s">
        <v>2808</v>
      </c>
      <c r="D424" t="s">
        <v>2916</v>
      </c>
      <c r="E424" s="1">
        <v>62046</v>
      </c>
      <c r="F424" t="s">
        <v>2809</v>
      </c>
      <c r="G424" t="s">
        <v>2810</v>
      </c>
      <c r="H424" t="s">
        <v>2811</v>
      </c>
      <c r="I424">
        <v>141</v>
      </c>
      <c r="J424">
        <v>1</v>
      </c>
    </row>
    <row r="425" spans="1:10" x14ac:dyDescent="0.25">
      <c r="A425">
        <v>462</v>
      </c>
      <c r="B425">
        <v>462</v>
      </c>
      <c r="C425" t="s">
        <v>2289</v>
      </c>
      <c r="D425" t="s">
        <v>2917</v>
      </c>
      <c r="E425" s="1">
        <v>1094</v>
      </c>
      <c r="F425" t="s">
        <v>2290</v>
      </c>
      <c r="G425" t="s">
        <v>2291</v>
      </c>
      <c r="H425" t="s">
        <v>2292</v>
      </c>
      <c r="I425">
        <v>169</v>
      </c>
      <c r="J425">
        <v>1</v>
      </c>
    </row>
    <row r="426" spans="1:10" x14ac:dyDescent="0.25">
      <c r="A426">
        <v>165</v>
      </c>
      <c r="B426">
        <v>165</v>
      </c>
      <c r="C426" t="s">
        <v>843</v>
      </c>
      <c r="D426" t="s">
        <v>2916</v>
      </c>
      <c r="E426" s="1">
        <v>3983</v>
      </c>
      <c r="F426" t="s">
        <v>844</v>
      </c>
      <c r="G426" t="s">
        <v>845</v>
      </c>
      <c r="H426" t="s">
        <v>846</v>
      </c>
      <c r="I426">
        <v>212</v>
      </c>
      <c r="J426">
        <v>1</v>
      </c>
    </row>
    <row r="427" spans="1:10" x14ac:dyDescent="0.25">
      <c r="A427">
        <v>415</v>
      </c>
      <c r="B427">
        <v>415</v>
      </c>
      <c r="C427" t="s">
        <v>2064</v>
      </c>
      <c r="D427" t="s">
        <v>2916</v>
      </c>
      <c r="E427" s="1">
        <v>2055</v>
      </c>
      <c r="F427" t="s">
        <v>2065</v>
      </c>
      <c r="G427" t="s">
        <v>2066</v>
      </c>
      <c r="H427" t="s">
        <v>1953</v>
      </c>
      <c r="I427">
        <v>429</v>
      </c>
      <c r="J427">
        <v>1</v>
      </c>
    </row>
    <row r="428" spans="1:10" x14ac:dyDescent="0.25">
      <c r="A428">
        <v>48</v>
      </c>
      <c r="B428">
        <v>48</v>
      </c>
      <c r="C428" t="s">
        <v>267</v>
      </c>
      <c r="D428" t="s">
        <v>2917</v>
      </c>
      <c r="E428" s="1">
        <v>11682</v>
      </c>
      <c r="F428" t="s">
        <v>268</v>
      </c>
      <c r="G428" t="s">
        <v>269</v>
      </c>
      <c r="H428" t="s">
        <v>270</v>
      </c>
      <c r="I428" s="1">
        <v>21378</v>
      </c>
      <c r="J428">
        <v>3</v>
      </c>
    </row>
    <row r="429" spans="1:10" x14ac:dyDescent="0.25">
      <c r="A429">
        <v>523</v>
      </c>
      <c r="B429">
        <v>523</v>
      </c>
      <c r="C429" t="s">
        <v>2575</v>
      </c>
      <c r="D429" t="s">
        <v>2917</v>
      </c>
      <c r="E429" s="1">
        <v>38858</v>
      </c>
      <c r="F429" t="s">
        <v>2576</v>
      </c>
      <c r="G429" t="s">
        <v>2577</v>
      </c>
      <c r="H429" t="s">
        <v>2578</v>
      </c>
      <c r="I429">
        <v>892</v>
      </c>
      <c r="J429">
        <v>3</v>
      </c>
    </row>
    <row r="430" spans="1:10" x14ac:dyDescent="0.25">
      <c r="A430">
        <v>309</v>
      </c>
      <c r="B430">
        <v>309</v>
      </c>
      <c r="C430" t="s">
        <v>1544</v>
      </c>
      <c r="D430" t="s">
        <v>2917</v>
      </c>
      <c r="E430" s="1">
        <v>2103</v>
      </c>
      <c r="F430" t="s">
        <v>1545</v>
      </c>
      <c r="G430" t="s">
        <v>1546</v>
      </c>
      <c r="H430" t="s">
        <v>1547</v>
      </c>
      <c r="I430" s="1">
        <v>1439</v>
      </c>
      <c r="J430">
        <v>1</v>
      </c>
    </row>
    <row r="431" spans="1:10" x14ac:dyDescent="0.25">
      <c r="A431">
        <v>300</v>
      </c>
      <c r="B431">
        <v>300</v>
      </c>
      <c r="C431" t="s">
        <v>1500</v>
      </c>
      <c r="D431" t="s">
        <v>2916</v>
      </c>
      <c r="E431">
        <v>266</v>
      </c>
      <c r="F431" t="s">
        <v>1501</v>
      </c>
      <c r="G431" t="s">
        <v>1502</v>
      </c>
      <c r="H431" t="s">
        <v>1503</v>
      </c>
      <c r="I431" s="1">
        <v>1286</v>
      </c>
      <c r="J431">
        <v>2</v>
      </c>
    </row>
    <row r="432" spans="1:10" x14ac:dyDescent="0.25">
      <c r="A432">
        <v>460</v>
      </c>
      <c r="B432">
        <v>460</v>
      </c>
      <c r="C432" t="s">
        <v>2279</v>
      </c>
      <c r="D432" t="s">
        <v>2916</v>
      </c>
      <c r="E432" s="1">
        <v>3258</v>
      </c>
      <c r="F432" t="s">
        <v>2280</v>
      </c>
      <c r="G432" t="s">
        <v>2281</v>
      </c>
      <c r="H432" t="s">
        <v>2282</v>
      </c>
      <c r="I432">
        <v>895</v>
      </c>
      <c r="J432">
        <v>1</v>
      </c>
    </row>
    <row r="433" spans="1:10" x14ac:dyDescent="0.25">
      <c r="A433">
        <v>470</v>
      </c>
      <c r="B433">
        <v>470</v>
      </c>
      <c r="C433" t="s">
        <v>2328</v>
      </c>
      <c r="D433" t="s">
        <v>2917</v>
      </c>
      <c r="E433" s="1">
        <v>1422</v>
      </c>
      <c r="F433" t="s">
        <v>2329</v>
      </c>
      <c r="G433" t="s">
        <v>2330</v>
      </c>
      <c r="H433" t="s">
        <v>2331</v>
      </c>
      <c r="I433">
        <v>195</v>
      </c>
      <c r="J433">
        <v>2</v>
      </c>
    </row>
    <row r="434" spans="1:10" x14ac:dyDescent="0.25">
      <c r="A434">
        <v>392</v>
      </c>
      <c r="B434">
        <v>392</v>
      </c>
      <c r="C434" t="s">
        <v>1950</v>
      </c>
      <c r="D434" t="s">
        <v>2916</v>
      </c>
      <c r="E434" s="1">
        <v>2814</v>
      </c>
      <c r="F434" t="s">
        <v>1951</v>
      </c>
      <c r="G434" t="s">
        <v>1952</v>
      </c>
      <c r="H434" t="s">
        <v>1953</v>
      </c>
      <c r="I434">
        <v>429</v>
      </c>
      <c r="J434">
        <v>1</v>
      </c>
    </row>
    <row r="435" spans="1:10" x14ac:dyDescent="0.25">
      <c r="A435">
        <v>46</v>
      </c>
      <c r="B435">
        <v>46</v>
      </c>
      <c r="C435" t="s">
        <v>257</v>
      </c>
      <c r="D435" t="s">
        <v>2917</v>
      </c>
      <c r="E435" s="1">
        <v>1687</v>
      </c>
      <c r="F435" t="s">
        <v>258</v>
      </c>
      <c r="G435" t="s">
        <v>259</v>
      </c>
      <c r="H435" t="s">
        <v>260</v>
      </c>
      <c r="I435" s="1">
        <v>20317</v>
      </c>
      <c r="J435">
        <v>3</v>
      </c>
    </row>
    <row r="436" spans="1:10" x14ac:dyDescent="0.25">
      <c r="A436">
        <v>38</v>
      </c>
      <c r="B436">
        <v>38</v>
      </c>
      <c r="C436" t="s">
        <v>215</v>
      </c>
      <c r="D436" t="s">
        <v>2916</v>
      </c>
      <c r="E436">
        <v>797</v>
      </c>
      <c r="F436" t="s">
        <v>216</v>
      </c>
      <c r="G436" t="s">
        <v>217</v>
      </c>
      <c r="H436" t="s">
        <v>218</v>
      </c>
      <c r="I436" s="1">
        <v>17157</v>
      </c>
      <c r="J436">
        <v>2</v>
      </c>
    </row>
    <row r="437" spans="1:10" x14ac:dyDescent="0.25">
      <c r="A437">
        <v>270</v>
      </c>
      <c r="B437">
        <v>270</v>
      </c>
      <c r="C437" t="s">
        <v>1357</v>
      </c>
      <c r="D437" t="s">
        <v>2916</v>
      </c>
      <c r="E437" s="1">
        <v>32210</v>
      </c>
      <c r="F437" t="s">
        <v>1358</v>
      </c>
      <c r="G437" t="s">
        <v>1359</v>
      </c>
      <c r="H437" t="s">
        <v>1360</v>
      </c>
      <c r="I437">
        <v>75</v>
      </c>
      <c r="J437">
        <v>1</v>
      </c>
    </row>
    <row r="438" spans="1:10" x14ac:dyDescent="0.25">
      <c r="A438">
        <v>136</v>
      </c>
      <c r="B438">
        <v>136</v>
      </c>
      <c r="C438" t="s">
        <v>703</v>
      </c>
      <c r="D438" t="s">
        <v>2916</v>
      </c>
      <c r="E438" s="1">
        <v>2761</v>
      </c>
      <c r="F438" t="s">
        <v>704</v>
      </c>
      <c r="G438" t="s">
        <v>705</v>
      </c>
      <c r="H438" t="s">
        <v>706</v>
      </c>
      <c r="I438">
        <v>197</v>
      </c>
      <c r="J438">
        <v>1</v>
      </c>
    </row>
    <row r="439" spans="1:10" x14ac:dyDescent="0.25">
      <c r="A439">
        <v>307</v>
      </c>
      <c r="B439">
        <v>307</v>
      </c>
      <c r="C439" t="s">
        <v>1535</v>
      </c>
      <c r="D439" t="s">
        <v>2917</v>
      </c>
      <c r="E439" s="1">
        <v>1743</v>
      </c>
      <c r="F439" t="s">
        <v>1536</v>
      </c>
      <c r="G439" t="s">
        <v>1537</v>
      </c>
      <c r="J439">
        <v>1</v>
      </c>
    </row>
    <row r="440" spans="1:10" x14ac:dyDescent="0.25">
      <c r="A440">
        <v>50</v>
      </c>
      <c r="B440">
        <v>50</v>
      </c>
      <c r="C440" t="s">
        <v>277</v>
      </c>
      <c r="D440" t="s">
        <v>2916</v>
      </c>
      <c r="E440" s="1">
        <v>65739</v>
      </c>
      <c r="F440" t="s">
        <v>278</v>
      </c>
      <c r="G440" t="s">
        <v>279</v>
      </c>
      <c r="H440" t="s">
        <v>280</v>
      </c>
      <c r="I440" s="1">
        <v>21839</v>
      </c>
      <c r="J440">
        <v>4</v>
      </c>
    </row>
    <row r="441" spans="1:10" x14ac:dyDescent="0.25">
      <c r="A441">
        <v>324</v>
      </c>
      <c r="B441">
        <v>324</v>
      </c>
      <c r="C441" t="s">
        <v>1617</v>
      </c>
      <c r="D441" t="s">
        <v>2917</v>
      </c>
      <c r="E441">
        <v>695</v>
      </c>
      <c r="F441" t="s">
        <v>1618</v>
      </c>
      <c r="G441" t="s">
        <v>1619</v>
      </c>
      <c r="H441" t="s">
        <v>1620</v>
      </c>
      <c r="I441">
        <v>812</v>
      </c>
      <c r="J441">
        <v>1</v>
      </c>
    </row>
    <row r="442" spans="1:10" x14ac:dyDescent="0.25">
      <c r="A442">
        <v>526</v>
      </c>
      <c r="B442">
        <v>526</v>
      </c>
      <c r="C442" t="s">
        <v>2590</v>
      </c>
      <c r="D442" t="s">
        <v>2916</v>
      </c>
      <c r="E442" s="1">
        <v>48943</v>
      </c>
      <c r="F442" t="s">
        <v>2591</v>
      </c>
      <c r="G442" t="s">
        <v>2592</v>
      </c>
      <c r="H442" t="s">
        <v>2593</v>
      </c>
      <c r="I442">
        <v>965</v>
      </c>
      <c r="J442">
        <v>2</v>
      </c>
    </row>
    <row r="443" spans="1:10" x14ac:dyDescent="0.25">
      <c r="A443">
        <v>578</v>
      </c>
      <c r="B443">
        <v>578</v>
      </c>
      <c r="C443" t="s">
        <v>2839</v>
      </c>
      <c r="D443" t="s">
        <v>2917</v>
      </c>
      <c r="E443" s="1">
        <v>1133</v>
      </c>
      <c r="F443" t="s">
        <v>2840</v>
      </c>
      <c r="G443" t="s">
        <v>2841</v>
      </c>
      <c r="H443" t="s">
        <v>2842</v>
      </c>
      <c r="I443" s="1">
        <v>3302</v>
      </c>
      <c r="J443">
        <v>1</v>
      </c>
    </row>
    <row r="444" spans="1:10" x14ac:dyDescent="0.25">
      <c r="A444">
        <v>348</v>
      </c>
      <c r="B444">
        <v>348</v>
      </c>
      <c r="C444" t="s">
        <v>1735</v>
      </c>
      <c r="D444" t="s">
        <v>2916</v>
      </c>
      <c r="E444" s="1">
        <v>1446</v>
      </c>
      <c r="F444" t="s">
        <v>1736</v>
      </c>
      <c r="G444" t="s">
        <v>1737</v>
      </c>
      <c r="H444" t="s">
        <v>1738</v>
      </c>
      <c r="I444" s="1">
        <v>3622</v>
      </c>
      <c r="J444">
        <v>1</v>
      </c>
    </row>
    <row r="445" spans="1:10" x14ac:dyDescent="0.25">
      <c r="A445">
        <v>496</v>
      </c>
      <c r="B445">
        <v>496</v>
      </c>
      <c r="C445" t="s">
        <v>2447</v>
      </c>
      <c r="D445" t="s">
        <v>2917</v>
      </c>
      <c r="E445" s="1">
        <v>21326</v>
      </c>
      <c r="F445" t="s">
        <v>2448</v>
      </c>
      <c r="G445" t="s">
        <v>2449</v>
      </c>
      <c r="H445" t="s">
        <v>2450</v>
      </c>
      <c r="I445">
        <v>233</v>
      </c>
      <c r="J445">
        <v>4</v>
      </c>
    </row>
    <row r="446" spans="1:10" x14ac:dyDescent="0.25">
      <c r="A446">
        <v>407</v>
      </c>
      <c r="B446">
        <v>407</v>
      </c>
      <c r="C446" t="s">
        <v>2024</v>
      </c>
      <c r="D446" t="s">
        <v>2917</v>
      </c>
      <c r="E446" s="1">
        <v>3977</v>
      </c>
      <c r="F446" t="s">
        <v>2025</v>
      </c>
      <c r="G446" t="s">
        <v>2026</v>
      </c>
      <c r="H446" t="s">
        <v>2027</v>
      </c>
      <c r="I446">
        <v>163</v>
      </c>
      <c r="J446">
        <v>2</v>
      </c>
    </row>
    <row r="447" spans="1:10" x14ac:dyDescent="0.25">
      <c r="A447">
        <v>194</v>
      </c>
      <c r="B447">
        <v>194</v>
      </c>
      <c r="C447" t="s">
        <v>987</v>
      </c>
      <c r="D447" t="s">
        <v>2916</v>
      </c>
      <c r="E447" s="1">
        <v>3296</v>
      </c>
      <c r="F447" t="s">
        <v>988</v>
      </c>
      <c r="G447" t="s">
        <v>989</v>
      </c>
      <c r="H447" t="s">
        <v>990</v>
      </c>
      <c r="I447">
        <v>335</v>
      </c>
      <c r="J447">
        <v>2</v>
      </c>
    </row>
    <row r="448" spans="1:10" x14ac:dyDescent="0.25">
      <c r="A448">
        <v>142</v>
      </c>
      <c r="B448">
        <v>142</v>
      </c>
      <c r="C448" t="s">
        <v>732</v>
      </c>
      <c r="D448" t="s">
        <v>2917</v>
      </c>
      <c r="E448">
        <v>359</v>
      </c>
      <c r="F448" t="s">
        <v>733</v>
      </c>
      <c r="G448" t="s">
        <v>734</v>
      </c>
      <c r="H448" t="s">
        <v>735</v>
      </c>
      <c r="I448">
        <v>657</v>
      </c>
      <c r="J448">
        <v>2</v>
      </c>
    </row>
    <row r="449" spans="1:10" x14ac:dyDescent="0.25">
      <c r="A449">
        <v>557</v>
      </c>
      <c r="B449">
        <v>557</v>
      </c>
      <c r="C449" t="s">
        <v>2741</v>
      </c>
      <c r="D449" t="s">
        <v>2916</v>
      </c>
      <c r="E449" s="1">
        <v>2355</v>
      </c>
      <c r="F449" t="s">
        <v>2742</v>
      </c>
      <c r="G449" t="s">
        <v>2743</v>
      </c>
      <c r="H449" t="s">
        <v>2744</v>
      </c>
      <c r="I449" s="1">
        <v>8177</v>
      </c>
      <c r="J449">
        <v>1</v>
      </c>
    </row>
    <row r="450" spans="1:10" x14ac:dyDescent="0.25">
      <c r="A450">
        <v>5</v>
      </c>
      <c r="B450">
        <v>5</v>
      </c>
      <c r="C450" t="s">
        <v>45</v>
      </c>
      <c r="D450" t="s">
        <v>2916</v>
      </c>
      <c r="E450" s="1">
        <v>45640</v>
      </c>
      <c r="F450" t="s">
        <v>46</v>
      </c>
      <c r="G450" t="s">
        <v>47</v>
      </c>
      <c r="H450" t="s">
        <v>48</v>
      </c>
      <c r="I450" s="1">
        <v>10585</v>
      </c>
      <c r="J450">
        <v>9</v>
      </c>
    </row>
    <row r="451" spans="1:10" x14ac:dyDescent="0.25">
      <c r="A451">
        <v>265</v>
      </c>
      <c r="B451">
        <v>265</v>
      </c>
      <c r="C451" t="s">
        <v>1332</v>
      </c>
      <c r="D451" t="s">
        <v>2916</v>
      </c>
      <c r="E451" s="1">
        <v>2146</v>
      </c>
      <c r="F451" t="s">
        <v>1333</v>
      </c>
      <c r="G451" t="s">
        <v>1334</v>
      </c>
      <c r="H451" t="s">
        <v>1335</v>
      </c>
      <c r="I451">
        <v>469</v>
      </c>
      <c r="J451">
        <v>1</v>
      </c>
    </row>
    <row r="452" spans="1:10" x14ac:dyDescent="0.25">
      <c r="A452">
        <v>71</v>
      </c>
      <c r="B452">
        <v>71</v>
      </c>
      <c r="C452" t="s">
        <v>382</v>
      </c>
      <c r="D452" t="s">
        <v>2916</v>
      </c>
      <c r="E452">
        <v>905</v>
      </c>
      <c r="F452" t="s">
        <v>383</v>
      </c>
      <c r="G452" t="s">
        <v>384</v>
      </c>
      <c r="H452" t="s">
        <v>385</v>
      </c>
      <c r="I452" s="1">
        <v>33758</v>
      </c>
      <c r="J452">
        <v>2</v>
      </c>
    </row>
    <row r="453" spans="1:10" x14ac:dyDescent="0.25">
      <c r="A453">
        <v>45</v>
      </c>
      <c r="B453">
        <v>45</v>
      </c>
      <c r="C453" t="s">
        <v>252</v>
      </c>
      <c r="D453" t="s">
        <v>2916</v>
      </c>
      <c r="E453" s="1">
        <v>1460</v>
      </c>
      <c r="F453" t="s">
        <v>253</v>
      </c>
      <c r="G453" t="s">
        <v>254</v>
      </c>
      <c r="H453" t="s">
        <v>255</v>
      </c>
      <c r="I453" s="1">
        <v>19448</v>
      </c>
      <c r="J453">
        <v>1</v>
      </c>
    </row>
    <row r="454" spans="1:10" x14ac:dyDescent="0.25">
      <c r="A454">
        <v>268</v>
      </c>
      <c r="B454">
        <v>268</v>
      </c>
      <c r="C454" t="s">
        <v>1347</v>
      </c>
      <c r="D454" t="s">
        <v>2916</v>
      </c>
      <c r="E454" s="1">
        <v>4153</v>
      </c>
      <c r="F454" t="s">
        <v>1348</v>
      </c>
      <c r="G454" t="s">
        <v>1349</v>
      </c>
      <c r="H454" t="s">
        <v>1350</v>
      </c>
      <c r="I454">
        <v>140</v>
      </c>
      <c r="J454">
        <v>1</v>
      </c>
    </row>
    <row r="455" spans="1:10" x14ac:dyDescent="0.25">
      <c r="A455">
        <v>58</v>
      </c>
      <c r="B455">
        <v>58</v>
      </c>
      <c r="C455" t="s">
        <v>317</v>
      </c>
      <c r="D455" t="s">
        <v>2916</v>
      </c>
      <c r="E455" s="1">
        <v>1433</v>
      </c>
      <c r="F455" t="s">
        <v>318</v>
      </c>
      <c r="G455" t="s">
        <v>319</v>
      </c>
      <c r="H455" t="s">
        <v>320</v>
      </c>
      <c r="I455" s="1">
        <v>24993</v>
      </c>
      <c r="J455">
        <v>1</v>
      </c>
    </row>
    <row r="456" spans="1:10" x14ac:dyDescent="0.25">
      <c r="A456">
        <v>535</v>
      </c>
      <c r="B456">
        <v>535</v>
      </c>
      <c r="C456" t="s">
        <v>2634</v>
      </c>
      <c r="D456" t="s">
        <v>2917</v>
      </c>
      <c r="E456">
        <v>214</v>
      </c>
      <c r="F456" t="s">
        <v>2635</v>
      </c>
      <c r="G456" t="s">
        <v>2636</v>
      </c>
      <c r="H456" t="s">
        <v>2637</v>
      </c>
      <c r="I456">
        <v>71</v>
      </c>
      <c r="J456">
        <v>2</v>
      </c>
    </row>
    <row r="457" spans="1:10" x14ac:dyDescent="0.25">
      <c r="A457">
        <v>555</v>
      </c>
      <c r="B457">
        <v>555</v>
      </c>
      <c r="C457" t="s">
        <v>2731</v>
      </c>
      <c r="D457" t="s">
        <v>2917</v>
      </c>
      <c r="E457" s="1">
        <v>17853</v>
      </c>
      <c r="F457" t="s">
        <v>2732</v>
      </c>
      <c r="G457" t="s">
        <v>2733</v>
      </c>
      <c r="H457" t="s">
        <v>2734</v>
      </c>
      <c r="I457">
        <v>353</v>
      </c>
      <c r="J457">
        <v>3</v>
      </c>
    </row>
    <row r="458" spans="1:10" x14ac:dyDescent="0.25">
      <c r="A458">
        <v>359</v>
      </c>
      <c r="B458">
        <v>359</v>
      </c>
      <c r="C458" t="s">
        <v>1789</v>
      </c>
      <c r="D458" t="s">
        <v>2916</v>
      </c>
      <c r="E458" s="1">
        <v>74977</v>
      </c>
      <c r="F458" t="s">
        <v>1790</v>
      </c>
      <c r="G458" t="s">
        <v>1791</v>
      </c>
      <c r="H458" t="s">
        <v>1792</v>
      </c>
      <c r="I458">
        <v>459</v>
      </c>
      <c r="J458">
        <v>14</v>
      </c>
    </row>
    <row r="459" spans="1:10" x14ac:dyDescent="0.25">
      <c r="A459">
        <v>336</v>
      </c>
      <c r="B459">
        <v>336</v>
      </c>
      <c r="C459" t="s">
        <v>1677</v>
      </c>
      <c r="D459" t="s">
        <v>2917</v>
      </c>
      <c r="E459" s="1">
        <v>7516</v>
      </c>
      <c r="F459" t="s">
        <v>1678</v>
      </c>
      <c r="G459" t="s">
        <v>1679</v>
      </c>
      <c r="H459" t="s">
        <v>1680</v>
      </c>
      <c r="I459">
        <v>133</v>
      </c>
      <c r="J459">
        <v>4</v>
      </c>
    </row>
    <row r="460" spans="1:10" x14ac:dyDescent="0.25">
      <c r="A460">
        <v>272</v>
      </c>
      <c r="B460">
        <v>272</v>
      </c>
      <c r="C460" t="s">
        <v>1367</v>
      </c>
      <c r="D460" t="s">
        <v>2916</v>
      </c>
      <c r="E460">
        <v>881</v>
      </c>
      <c r="F460" t="s">
        <v>1368</v>
      </c>
      <c r="G460" t="s">
        <v>1369</v>
      </c>
      <c r="H460" t="s">
        <v>1370</v>
      </c>
      <c r="I460" s="1">
        <v>3323</v>
      </c>
      <c r="J460">
        <v>2</v>
      </c>
    </row>
    <row r="461" spans="1:10" x14ac:dyDescent="0.25">
      <c r="A461">
        <v>541</v>
      </c>
      <c r="B461">
        <v>541</v>
      </c>
      <c r="C461" t="s">
        <v>2662</v>
      </c>
      <c r="D461" t="s">
        <v>2916</v>
      </c>
      <c r="E461" s="1">
        <v>14188</v>
      </c>
      <c r="F461" t="s">
        <v>2663</v>
      </c>
      <c r="G461" t="s">
        <v>2664</v>
      </c>
      <c r="H461" t="s">
        <v>2665</v>
      </c>
      <c r="I461" s="1">
        <v>2144</v>
      </c>
      <c r="J461">
        <v>6</v>
      </c>
    </row>
    <row r="462" spans="1:10" x14ac:dyDescent="0.25">
      <c r="A462">
        <v>554</v>
      </c>
      <c r="B462">
        <v>554</v>
      </c>
      <c r="C462" t="s">
        <v>2726</v>
      </c>
      <c r="D462" t="s">
        <v>2917</v>
      </c>
      <c r="E462" s="1">
        <v>5811</v>
      </c>
      <c r="F462" t="s">
        <v>2727</v>
      </c>
      <c r="G462" t="s">
        <v>2728</v>
      </c>
      <c r="H462" t="s">
        <v>2729</v>
      </c>
      <c r="I462" s="1">
        <v>7910</v>
      </c>
      <c r="J462">
        <v>1</v>
      </c>
    </row>
    <row r="463" spans="1:10" x14ac:dyDescent="0.25">
      <c r="A463">
        <v>139</v>
      </c>
      <c r="B463">
        <v>139</v>
      </c>
      <c r="C463" t="s">
        <v>717</v>
      </c>
      <c r="D463" t="s">
        <v>2917</v>
      </c>
      <c r="E463" s="1">
        <v>1516</v>
      </c>
      <c r="F463" t="s">
        <v>718</v>
      </c>
      <c r="G463" t="s">
        <v>719</v>
      </c>
      <c r="H463" t="s">
        <v>720</v>
      </c>
      <c r="I463" s="1">
        <v>1042</v>
      </c>
      <c r="J463">
        <v>1</v>
      </c>
    </row>
    <row r="464" spans="1:10" x14ac:dyDescent="0.25">
      <c r="A464">
        <v>240</v>
      </c>
      <c r="B464">
        <v>240</v>
      </c>
      <c r="C464" t="s">
        <v>1213</v>
      </c>
      <c r="D464" t="s">
        <v>2917</v>
      </c>
      <c r="E464">
        <v>496</v>
      </c>
      <c r="F464" t="s">
        <v>1214</v>
      </c>
      <c r="G464" t="s">
        <v>1215</v>
      </c>
      <c r="H464" t="s">
        <v>1216</v>
      </c>
      <c r="I464">
        <v>587</v>
      </c>
      <c r="J464">
        <v>1</v>
      </c>
    </row>
    <row r="465" spans="1:10" x14ac:dyDescent="0.25">
      <c r="A465">
        <v>177</v>
      </c>
      <c r="B465">
        <v>177</v>
      </c>
      <c r="C465" t="s">
        <v>903</v>
      </c>
      <c r="D465" t="s">
        <v>2916</v>
      </c>
      <c r="E465">
        <v>144</v>
      </c>
      <c r="F465" t="s">
        <v>904</v>
      </c>
      <c r="G465" t="s">
        <v>905</v>
      </c>
      <c r="H465" t="s">
        <v>906</v>
      </c>
      <c r="I465" s="1">
        <v>1584</v>
      </c>
      <c r="J465">
        <v>1</v>
      </c>
    </row>
    <row r="466" spans="1:10" x14ac:dyDescent="0.25">
      <c r="A466">
        <v>283</v>
      </c>
      <c r="B466">
        <v>283</v>
      </c>
      <c r="C466" t="s">
        <v>1419</v>
      </c>
      <c r="D466" t="s">
        <v>2916</v>
      </c>
      <c r="E466" s="1">
        <v>1333</v>
      </c>
      <c r="F466" t="s">
        <v>1420</v>
      </c>
      <c r="G466" t="s">
        <v>1421</v>
      </c>
      <c r="H466" t="s">
        <v>1422</v>
      </c>
      <c r="I466" s="1">
        <v>3292</v>
      </c>
      <c r="J466">
        <v>1</v>
      </c>
    </row>
    <row r="467" spans="1:10" x14ac:dyDescent="0.25">
      <c r="A467">
        <v>515</v>
      </c>
      <c r="B467">
        <v>515</v>
      </c>
      <c r="C467" t="s">
        <v>2536</v>
      </c>
      <c r="D467" t="s">
        <v>2916</v>
      </c>
      <c r="E467" s="1">
        <v>29873</v>
      </c>
      <c r="F467" t="s">
        <v>2537</v>
      </c>
      <c r="G467" t="s">
        <v>2538</v>
      </c>
      <c r="H467" t="s">
        <v>2539</v>
      </c>
      <c r="I467">
        <v>602</v>
      </c>
      <c r="J467">
        <v>2</v>
      </c>
    </row>
    <row r="468" spans="1:10" x14ac:dyDescent="0.25">
      <c r="A468">
        <v>441</v>
      </c>
      <c r="B468">
        <v>441</v>
      </c>
      <c r="C468" t="s">
        <v>2188</v>
      </c>
      <c r="D468" t="s">
        <v>2917</v>
      </c>
      <c r="E468" s="1">
        <v>4253</v>
      </c>
      <c r="F468" t="s">
        <v>2189</v>
      </c>
      <c r="G468" t="s">
        <v>2190</v>
      </c>
      <c r="H468" t="s">
        <v>2191</v>
      </c>
      <c r="I468">
        <v>621</v>
      </c>
      <c r="J468">
        <v>1</v>
      </c>
    </row>
    <row r="469" spans="1:10" x14ac:dyDescent="0.25">
      <c r="A469">
        <v>137</v>
      </c>
      <c r="B469">
        <v>137</v>
      </c>
      <c r="C469" t="s">
        <v>708</v>
      </c>
      <c r="D469" t="s">
        <v>2916</v>
      </c>
      <c r="E469" s="1">
        <v>2308</v>
      </c>
      <c r="F469" t="s">
        <v>709</v>
      </c>
      <c r="G469" t="s">
        <v>710</v>
      </c>
      <c r="J469">
        <v>1</v>
      </c>
    </row>
    <row r="470" spans="1:10" x14ac:dyDescent="0.25">
      <c r="A470">
        <v>246</v>
      </c>
      <c r="B470">
        <v>246</v>
      </c>
      <c r="C470" t="s">
        <v>1241</v>
      </c>
      <c r="D470" t="s">
        <v>2916</v>
      </c>
      <c r="E470" s="1">
        <v>3444</v>
      </c>
      <c r="F470" t="s">
        <v>1242</v>
      </c>
      <c r="G470" t="s">
        <v>1243</v>
      </c>
      <c r="H470" t="s">
        <v>1244</v>
      </c>
      <c r="I470">
        <v>415</v>
      </c>
      <c r="J470">
        <v>3</v>
      </c>
    </row>
    <row r="471" spans="1:10" x14ac:dyDescent="0.25">
      <c r="A471">
        <v>238</v>
      </c>
      <c r="B471">
        <v>238</v>
      </c>
      <c r="C471" t="s">
        <v>1203</v>
      </c>
      <c r="D471" t="s">
        <v>2916</v>
      </c>
      <c r="E471" s="1">
        <v>1669</v>
      </c>
      <c r="F471" t="s">
        <v>1204</v>
      </c>
      <c r="G471" t="s">
        <v>1205</v>
      </c>
      <c r="H471" t="s">
        <v>1206</v>
      </c>
      <c r="I471">
        <v>75</v>
      </c>
      <c r="J471">
        <v>2</v>
      </c>
    </row>
    <row r="472" spans="1:10" x14ac:dyDescent="0.25">
      <c r="A472">
        <v>167</v>
      </c>
      <c r="B472">
        <v>167</v>
      </c>
      <c r="C472" t="s">
        <v>853</v>
      </c>
      <c r="D472" t="s">
        <v>2917</v>
      </c>
      <c r="E472">
        <v>753</v>
      </c>
      <c r="F472" t="s">
        <v>854</v>
      </c>
      <c r="G472" t="s">
        <v>855</v>
      </c>
      <c r="H472" t="s">
        <v>856</v>
      </c>
      <c r="I472">
        <v>450</v>
      </c>
      <c r="J472">
        <v>1</v>
      </c>
    </row>
    <row r="473" spans="1:10" x14ac:dyDescent="0.25">
      <c r="A473">
        <v>547</v>
      </c>
      <c r="B473">
        <v>547</v>
      </c>
      <c r="C473" t="s">
        <v>2691</v>
      </c>
      <c r="D473" t="s">
        <v>2916</v>
      </c>
      <c r="E473" s="1">
        <v>10715</v>
      </c>
      <c r="F473" t="s">
        <v>2692</v>
      </c>
      <c r="G473" t="s">
        <v>2693</v>
      </c>
      <c r="H473" t="s">
        <v>2694</v>
      </c>
      <c r="I473">
        <v>71</v>
      </c>
      <c r="J473">
        <v>1</v>
      </c>
    </row>
    <row r="474" spans="1:10" x14ac:dyDescent="0.25">
      <c r="A474">
        <v>128</v>
      </c>
      <c r="B474">
        <v>128</v>
      </c>
      <c r="C474" t="s">
        <v>663</v>
      </c>
      <c r="D474" t="s">
        <v>2916</v>
      </c>
      <c r="E474" s="1">
        <v>6608</v>
      </c>
      <c r="F474" t="s">
        <v>664</v>
      </c>
      <c r="G474" t="s">
        <v>665</v>
      </c>
      <c r="H474" t="s">
        <v>666</v>
      </c>
      <c r="I474">
        <v>330</v>
      </c>
      <c r="J474">
        <v>1</v>
      </c>
    </row>
    <row r="475" spans="1:10" x14ac:dyDescent="0.25">
      <c r="A475">
        <v>536</v>
      </c>
      <c r="B475">
        <v>536</v>
      </c>
      <c r="C475" t="s">
        <v>2638</v>
      </c>
      <c r="D475" t="s">
        <v>2916</v>
      </c>
      <c r="E475" s="1">
        <v>1605</v>
      </c>
      <c r="F475" t="s">
        <v>2639</v>
      </c>
      <c r="G475" t="s">
        <v>2640</v>
      </c>
      <c r="H475" t="s">
        <v>2641</v>
      </c>
      <c r="I475" s="1">
        <v>4834</v>
      </c>
      <c r="J475">
        <v>2</v>
      </c>
    </row>
    <row r="476" spans="1:10" x14ac:dyDescent="0.25">
      <c r="A476">
        <v>425</v>
      </c>
      <c r="B476">
        <v>425</v>
      </c>
      <c r="C476" t="s">
        <v>2110</v>
      </c>
      <c r="D476" t="s">
        <v>2916</v>
      </c>
      <c r="E476" s="1">
        <v>2996</v>
      </c>
      <c r="F476" t="s">
        <v>2111</v>
      </c>
      <c r="G476" t="s">
        <v>2112</v>
      </c>
      <c r="H476" t="s">
        <v>2113</v>
      </c>
      <c r="I476">
        <v>650</v>
      </c>
      <c r="J476">
        <v>3</v>
      </c>
    </row>
    <row r="477" spans="1:10" x14ac:dyDescent="0.25">
      <c r="A477">
        <v>360</v>
      </c>
      <c r="B477">
        <v>360</v>
      </c>
      <c r="C477" t="s">
        <v>1794</v>
      </c>
      <c r="D477" t="s">
        <v>2916</v>
      </c>
      <c r="E477" s="1">
        <v>9294</v>
      </c>
      <c r="F477" t="s">
        <v>1795</v>
      </c>
      <c r="G477" t="s">
        <v>1796</v>
      </c>
      <c r="H477" t="s">
        <v>1797</v>
      </c>
      <c r="I477">
        <v>433</v>
      </c>
      <c r="J477">
        <v>3</v>
      </c>
    </row>
    <row r="478" spans="1:10" x14ac:dyDescent="0.25">
      <c r="A478">
        <v>269</v>
      </c>
      <c r="B478">
        <v>269</v>
      </c>
      <c r="C478" t="s">
        <v>1352</v>
      </c>
      <c r="D478" t="s">
        <v>2917</v>
      </c>
      <c r="F478" t="s">
        <v>1353</v>
      </c>
      <c r="G478" t="s">
        <v>1354</v>
      </c>
      <c r="H478" t="s">
        <v>1355</v>
      </c>
      <c r="J478">
        <v>4</v>
      </c>
    </row>
    <row r="479" spans="1:10" x14ac:dyDescent="0.25">
      <c r="A479">
        <v>396</v>
      </c>
      <c r="B479">
        <v>396</v>
      </c>
      <c r="C479" t="s">
        <v>1970</v>
      </c>
      <c r="D479" t="s">
        <v>2916</v>
      </c>
      <c r="E479" s="1">
        <v>2922</v>
      </c>
      <c r="F479" t="s">
        <v>1971</v>
      </c>
      <c r="G479" t="s">
        <v>1972</v>
      </c>
      <c r="H479" t="s">
        <v>1973</v>
      </c>
      <c r="I479">
        <v>73</v>
      </c>
      <c r="J479">
        <v>1</v>
      </c>
    </row>
    <row r="480" spans="1:10" x14ac:dyDescent="0.25">
      <c r="A480">
        <v>481</v>
      </c>
      <c r="B480">
        <v>481</v>
      </c>
      <c r="C480" t="s">
        <v>2380</v>
      </c>
      <c r="D480" t="s">
        <v>2916</v>
      </c>
      <c r="E480" s="1">
        <v>1929</v>
      </c>
      <c r="F480" t="s">
        <v>2381</v>
      </c>
      <c r="G480" t="s">
        <v>2382</v>
      </c>
      <c r="J480">
        <v>3</v>
      </c>
    </row>
    <row r="481" spans="1:10" x14ac:dyDescent="0.25">
      <c r="A481">
        <v>346</v>
      </c>
      <c r="B481">
        <v>346</v>
      </c>
      <c r="C481" t="s">
        <v>1725</v>
      </c>
      <c r="D481" t="s">
        <v>2916</v>
      </c>
      <c r="E481" s="1">
        <v>8498</v>
      </c>
      <c r="F481" t="s">
        <v>1726</v>
      </c>
      <c r="G481" t="s">
        <v>1727</v>
      </c>
      <c r="H481" t="s">
        <v>1728</v>
      </c>
      <c r="I481" s="1">
        <v>1715</v>
      </c>
      <c r="J481">
        <v>7</v>
      </c>
    </row>
    <row r="482" spans="1:10" x14ac:dyDescent="0.25">
      <c r="A482">
        <v>490</v>
      </c>
      <c r="B482">
        <v>490</v>
      </c>
      <c r="C482" t="s">
        <v>2419</v>
      </c>
      <c r="D482" t="s">
        <v>2916</v>
      </c>
      <c r="E482" s="1">
        <v>24768</v>
      </c>
      <c r="F482" t="s">
        <v>2420</v>
      </c>
      <c r="G482" t="s">
        <v>2421</v>
      </c>
      <c r="H482" t="s">
        <v>2422</v>
      </c>
      <c r="I482">
        <v>601</v>
      </c>
      <c r="J482">
        <v>3</v>
      </c>
    </row>
    <row r="483" spans="1:10" x14ac:dyDescent="0.25">
      <c r="A483">
        <v>368</v>
      </c>
      <c r="B483">
        <v>368</v>
      </c>
      <c r="C483" t="s">
        <v>1834</v>
      </c>
      <c r="D483" t="s">
        <v>2917</v>
      </c>
      <c r="E483" s="1">
        <v>13476</v>
      </c>
      <c r="F483" t="s">
        <v>1835</v>
      </c>
      <c r="G483" t="s">
        <v>1836</v>
      </c>
      <c r="H483" t="s">
        <v>1837</v>
      </c>
      <c r="I483">
        <v>795</v>
      </c>
      <c r="J483">
        <v>3</v>
      </c>
    </row>
    <row r="484" spans="1:10" x14ac:dyDescent="0.25">
      <c r="A484">
        <v>2</v>
      </c>
      <c r="B484">
        <v>2</v>
      </c>
      <c r="C484" t="s">
        <v>25</v>
      </c>
      <c r="D484" t="s">
        <v>2917</v>
      </c>
      <c r="E484">
        <v>416</v>
      </c>
      <c r="F484" t="s">
        <v>26</v>
      </c>
      <c r="G484" t="s">
        <v>27</v>
      </c>
      <c r="H484" t="s">
        <v>28</v>
      </c>
      <c r="I484" s="1">
        <v>10297</v>
      </c>
      <c r="J484">
        <v>1</v>
      </c>
    </row>
    <row r="485" spans="1:10" x14ac:dyDescent="0.25">
      <c r="A485">
        <v>213</v>
      </c>
      <c r="B485">
        <v>213</v>
      </c>
      <c r="C485" t="s">
        <v>1080</v>
      </c>
      <c r="D485" t="s">
        <v>2916</v>
      </c>
      <c r="E485" s="1">
        <v>9407</v>
      </c>
      <c r="F485" t="s">
        <v>1081</v>
      </c>
      <c r="G485" t="s">
        <v>1082</v>
      </c>
      <c r="J485">
        <v>3</v>
      </c>
    </row>
    <row r="486" spans="1:10" x14ac:dyDescent="0.25">
      <c r="A486">
        <v>411</v>
      </c>
      <c r="B486">
        <v>411</v>
      </c>
      <c r="C486" t="s">
        <v>2044</v>
      </c>
      <c r="D486" t="s">
        <v>2916</v>
      </c>
      <c r="E486" s="1">
        <v>3975</v>
      </c>
      <c r="F486" t="s">
        <v>2045</v>
      </c>
      <c r="G486" t="s">
        <v>2046</v>
      </c>
      <c r="H486" t="s">
        <v>2047</v>
      </c>
      <c r="I486" s="1">
        <v>1006</v>
      </c>
      <c r="J486">
        <v>1</v>
      </c>
    </row>
    <row r="487" spans="1:10" x14ac:dyDescent="0.25">
      <c r="A487">
        <v>533</v>
      </c>
      <c r="B487">
        <v>533</v>
      </c>
      <c r="C487" t="s">
        <v>2624</v>
      </c>
      <c r="D487" t="s">
        <v>2916</v>
      </c>
      <c r="E487" s="1">
        <v>2270</v>
      </c>
      <c r="F487" t="s">
        <v>2625</v>
      </c>
      <c r="G487" t="s">
        <v>2626</v>
      </c>
      <c r="H487" t="s">
        <v>2627</v>
      </c>
      <c r="I487" s="1">
        <v>5082</v>
      </c>
      <c r="J487">
        <v>4</v>
      </c>
    </row>
    <row r="488" spans="1:10" x14ac:dyDescent="0.25">
      <c r="A488">
        <v>494</v>
      </c>
      <c r="B488">
        <v>494</v>
      </c>
      <c r="C488" t="s">
        <v>2437</v>
      </c>
      <c r="D488" t="s">
        <v>2916</v>
      </c>
      <c r="E488" s="1">
        <v>4893</v>
      </c>
      <c r="F488" t="s">
        <v>2438</v>
      </c>
      <c r="G488" t="s">
        <v>2439</v>
      </c>
      <c r="H488" t="s">
        <v>2440</v>
      </c>
      <c r="I488" s="1">
        <v>2119</v>
      </c>
      <c r="J488">
        <v>1</v>
      </c>
    </row>
    <row r="489" spans="1:10" x14ac:dyDescent="0.25">
      <c r="A489">
        <v>234</v>
      </c>
      <c r="B489">
        <v>234</v>
      </c>
      <c r="C489" t="s">
        <v>1183</v>
      </c>
      <c r="D489" t="s">
        <v>2916</v>
      </c>
      <c r="E489" s="1">
        <v>3028</v>
      </c>
      <c r="F489" t="s">
        <v>1184</v>
      </c>
      <c r="G489" t="s">
        <v>1185</v>
      </c>
      <c r="H489" t="s">
        <v>1186</v>
      </c>
      <c r="I489">
        <v>418</v>
      </c>
      <c r="J489">
        <v>3</v>
      </c>
    </row>
    <row r="490" spans="1:10" x14ac:dyDescent="0.25">
      <c r="A490">
        <v>156</v>
      </c>
      <c r="B490">
        <v>156</v>
      </c>
      <c r="C490" t="s">
        <v>800</v>
      </c>
      <c r="D490" t="s">
        <v>2917</v>
      </c>
      <c r="E490" s="1">
        <v>2985</v>
      </c>
      <c r="F490" t="s">
        <v>801</v>
      </c>
      <c r="G490" t="s">
        <v>802</v>
      </c>
      <c r="H490" t="s">
        <v>803</v>
      </c>
      <c r="I490">
        <v>362</v>
      </c>
      <c r="J490">
        <v>1</v>
      </c>
    </row>
    <row r="491" spans="1:10" x14ac:dyDescent="0.25">
      <c r="A491">
        <v>378</v>
      </c>
      <c r="B491">
        <v>378</v>
      </c>
      <c r="C491" t="s">
        <v>1883</v>
      </c>
      <c r="D491" t="s">
        <v>2916</v>
      </c>
      <c r="E491">
        <v>472</v>
      </c>
      <c r="F491" t="s">
        <v>1884</v>
      </c>
      <c r="G491" t="s">
        <v>1885</v>
      </c>
      <c r="H491" t="s">
        <v>1886</v>
      </c>
      <c r="I491">
        <v>73</v>
      </c>
      <c r="J491">
        <v>1</v>
      </c>
    </row>
    <row r="492" spans="1:10" x14ac:dyDescent="0.25">
      <c r="A492">
        <v>282</v>
      </c>
      <c r="B492">
        <v>282</v>
      </c>
      <c r="C492" t="s">
        <v>1415</v>
      </c>
      <c r="D492" t="s">
        <v>2917</v>
      </c>
      <c r="E492" s="1">
        <v>1239</v>
      </c>
      <c r="F492" t="s">
        <v>1416</v>
      </c>
      <c r="G492" t="s">
        <v>1417</v>
      </c>
      <c r="H492" t="s">
        <v>1418</v>
      </c>
      <c r="I492">
        <v>137</v>
      </c>
      <c r="J492">
        <v>2</v>
      </c>
    </row>
    <row r="493" spans="1:10" x14ac:dyDescent="0.25">
      <c r="A493">
        <v>16</v>
      </c>
      <c r="B493">
        <v>16</v>
      </c>
      <c r="C493" t="s">
        <v>103</v>
      </c>
      <c r="D493" t="s">
        <v>2917</v>
      </c>
      <c r="E493" s="1">
        <v>2165</v>
      </c>
      <c r="F493" t="s">
        <v>104</v>
      </c>
      <c r="G493" t="s">
        <v>105</v>
      </c>
      <c r="H493" t="s">
        <v>106</v>
      </c>
      <c r="I493" s="1">
        <v>12139</v>
      </c>
      <c r="J493">
        <v>2</v>
      </c>
    </row>
    <row r="494" spans="1:10" x14ac:dyDescent="0.25">
      <c r="A494">
        <v>326</v>
      </c>
      <c r="B494">
        <v>326</v>
      </c>
      <c r="C494" t="s">
        <v>1627</v>
      </c>
      <c r="D494" t="s">
        <v>2917</v>
      </c>
      <c r="E494">
        <v>310</v>
      </c>
      <c r="F494" t="s">
        <v>1628</v>
      </c>
      <c r="G494" t="s">
        <v>1629</v>
      </c>
      <c r="H494" t="s">
        <v>1630</v>
      </c>
      <c r="I494">
        <v>308</v>
      </c>
      <c r="J494">
        <v>1</v>
      </c>
    </row>
    <row r="495" spans="1:10" x14ac:dyDescent="0.25">
      <c r="A495">
        <v>217</v>
      </c>
      <c r="B495">
        <v>217</v>
      </c>
      <c r="C495" t="s">
        <v>1099</v>
      </c>
      <c r="D495" t="s">
        <v>2916</v>
      </c>
      <c r="E495" s="1">
        <v>10522</v>
      </c>
      <c r="F495" t="s">
        <v>1100</v>
      </c>
      <c r="G495" t="s">
        <v>1101</v>
      </c>
      <c r="H495" t="s">
        <v>1102</v>
      </c>
      <c r="I495">
        <v>450</v>
      </c>
      <c r="J495">
        <v>2</v>
      </c>
    </row>
    <row r="496" spans="1:10" x14ac:dyDescent="0.25">
      <c r="A496">
        <v>442</v>
      </c>
      <c r="B496">
        <v>442</v>
      </c>
      <c r="C496" t="s">
        <v>2193</v>
      </c>
      <c r="D496" t="s">
        <v>2916</v>
      </c>
      <c r="E496" s="1">
        <v>37090</v>
      </c>
      <c r="F496" t="s">
        <v>2194</v>
      </c>
      <c r="G496" t="s">
        <v>2195</v>
      </c>
      <c r="H496" t="s">
        <v>2196</v>
      </c>
      <c r="I496">
        <v>622</v>
      </c>
      <c r="J496">
        <v>2</v>
      </c>
    </row>
    <row r="497" spans="1:10" x14ac:dyDescent="0.25">
      <c r="A497">
        <v>127</v>
      </c>
      <c r="B497">
        <v>127</v>
      </c>
      <c r="C497" t="s">
        <v>658</v>
      </c>
      <c r="D497" t="s">
        <v>2916</v>
      </c>
      <c r="E497" s="1">
        <v>5212</v>
      </c>
      <c r="F497" t="s">
        <v>659</v>
      </c>
      <c r="G497" t="s">
        <v>660</v>
      </c>
      <c r="H497" t="s">
        <v>661</v>
      </c>
      <c r="I497">
        <v>686</v>
      </c>
      <c r="J497">
        <v>1</v>
      </c>
    </row>
    <row r="498" spans="1:10" x14ac:dyDescent="0.25">
      <c r="A498">
        <v>370</v>
      </c>
      <c r="B498">
        <v>370</v>
      </c>
      <c r="C498" t="s">
        <v>1843</v>
      </c>
      <c r="D498" t="s">
        <v>2916</v>
      </c>
      <c r="E498" s="1">
        <v>3367</v>
      </c>
      <c r="F498" t="s">
        <v>1844</v>
      </c>
      <c r="G498" t="s">
        <v>1845</v>
      </c>
      <c r="H498" t="s">
        <v>1846</v>
      </c>
      <c r="I498">
        <v>666</v>
      </c>
      <c r="J498">
        <v>3</v>
      </c>
    </row>
    <row r="499" spans="1:10" x14ac:dyDescent="0.25">
      <c r="A499">
        <v>356</v>
      </c>
      <c r="B499">
        <v>356</v>
      </c>
      <c r="C499" t="s">
        <v>1774</v>
      </c>
      <c r="D499" t="s">
        <v>2916</v>
      </c>
      <c r="E499">
        <v>500</v>
      </c>
      <c r="F499" t="s">
        <v>1775</v>
      </c>
      <c r="G499" t="s">
        <v>1776</v>
      </c>
      <c r="H499" t="s">
        <v>1777</v>
      </c>
      <c r="I499">
        <v>874</v>
      </c>
      <c r="J499">
        <v>1</v>
      </c>
    </row>
    <row r="500" spans="1:10" x14ac:dyDescent="0.25">
      <c r="A500">
        <v>20</v>
      </c>
      <c r="B500">
        <v>20</v>
      </c>
      <c r="C500" t="s">
        <v>123</v>
      </c>
      <c r="D500" t="s">
        <v>2916</v>
      </c>
      <c r="E500" s="1">
        <v>5723</v>
      </c>
      <c r="F500" t="s">
        <v>124</v>
      </c>
      <c r="G500" t="s">
        <v>125</v>
      </c>
      <c r="H500" t="s">
        <v>126</v>
      </c>
      <c r="I500" s="1">
        <v>12479</v>
      </c>
      <c r="J500">
        <v>2</v>
      </c>
    </row>
    <row r="501" spans="1:10" x14ac:dyDescent="0.25">
      <c r="A501">
        <v>158</v>
      </c>
      <c r="B501">
        <v>158</v>
      </c>
      <c r="C501" t="s">
        <v>809</v>
      </c>
      <c r="D501" t="s">
        <v>2917</v>
      </c>
      <c r="E501" s="1">
        <v>1257</v>
      </c>
      <c r="F501" t="s">
        <v>810</v>
      </c>
      <c r="G501" t="s">
        <v>811</v>
      </c>
      <c r="H501" t="s">
        <v>812</v>
      </c>
      <c r="I501">
        <v>391</v>
      </c>
      <c r="J501">
        <v>2</v>
      </c>
    </row>
    <row r="502" spans="1:10" x14ac:dyDescent="0.25">
      <c r="A502">
        <v>199</v>
      </c>
      <c r="B502">
        <v>199</v>
      </c>
      <c r="C502" t="s">
        <v>1012</v>
      </c>
      <c r="D502" t="s">
        <v>2917</v>
      </c>
      <c r="E502" s="1">
        <v>3572</v>
      </c>
      <c r="F502" t="s">
        <v>1013</v>
      </c>
      <c r="G502" t="s">
        <v>1014</v>
      </c>
      <c r="H502" t="s">
        <v>1015</v>
      </c>
      <c r="I502">
        <v>303</v>
      </c>
      <c r="J502">
        <v>1</v>
      </c>
    </row>
    <row r="503" spans="1:10" x14ac:dyDescent="0.25">
      <c r="A503">
        <v>161</v>
      </c>
      <c r="B503">
        <v>161</v>
      </c>
      <c r="C503" t="s">
        <v>824</v>
      </c>
      <c r="D503" t="s">
        <v>2916</v>
      </c>
      <c r="E503" s="1">
        <v>1065</v>
      </c>
      <c r="F503" t="s">
        <v>825</v>
      </c>
      <c r="G503" t="s">
        <v>826</v>
      </c>
      <c r="H503" t="s">
        <v>827</v>
      </c>
      <c r="I503">
        <v>831</v>
      </c>
      <c r="J503">
        <v>1</v>
      </c>
    </row>
    <row r="504" spans="1:10" x14ac:dyDescent="0.25">
      <c r="A504">
        <v>144</v>
      </c>
      <c r="B504">
        <v>144</v>
      </c>
      <c r="C504" t="s">
        <v>742</v>
      </c>
      <c r="D504" t="s">
        <v>2917</v>
      </c>
      <c r="E504" s="1">
        <v>19393</v>
      </c>
      <c r="F504" t="s">
        <v>743</v>
      </c>
      <c r="G504" t="s">
        <v>744</v>
      </c>
      <c r="H504" t="s">
        <v>745</v>
      </c>
      <c r="I504" s="1">
        <v>2183</v>
      </c>
      <c r="J504">
        <v>5</v>
      </c>
    </row>
    <row r="505" spans="1:10" x14ac:dyDescent="0.25">
      <c r="A505">
        <v>384</v>
      </c>
      <c r="B505">
        <v>384</v>
      </c>
      <c r="C505" t="s">
        <v>1912</v>
      </c>
      <c r="D505" t="s">
        <v>2917</v>
      </c>
      <c r="E505" s="1">
        <v>31713</v>
      </c>
      <c r="F505" t="s">
        <v>1913</v>
      </c>
      <c r="G505" t="s">
        <v>1914</v>
      </c>
      <c r="H505" t="s">
        <v>1915</v>
      </c>
      <c r="I505">
        <v>203</v>
      </c>
      <c r="J505">
        <v>3</v>
      </c>
    </row>
    <row r="506" spans="1:10" x14ac:dyDescent="0.25">
      <c r="A506">
        <v>163</v>
      </c>
      <c r="B506">
        <v>163</v>
      </c>
      <c r="C506" t="s">
        <v>834</v>
      </c>
      <c r="D506" t="s">
        <v>2918</v>
      </c>
      <c r="E506">
        <v>357</v>
      </c>
      <c r="F506" t="s">
        <v>835</v>
      </c>
      <c r="G506" t="s">
        <v>836</v>
      </c>
      <c r="H506" t="s">
        <v>837</v>
      </c>
      <c r="I506" s="1">
        <v>3327</v>
      </c>
      <c r="J506">
        <v>0</v>
      </c>
    </row>
    <row r="507" spans="1:10" x14ac:dyDescent="0.25">
      <c r="A507">
        <v>196</v>
      </c>
      <c r="B507">
        <v>196</v>
      </c>
      <c r="C507" t="s">
        <v>997</v>
      </c>
      <c r="D507" t="s">
        <v>2916</v>
      </c>
      <c r="E507">
        <v>114</v>
      </c>
      <c r="F507" t="s">
        <v>998</v>
      </c>
      <c r="G507" t="s">
        <v>999</v>
      </c>
      <c r="H507" t="s">
        <v>1000</v>
      </c>
      <c r="I507">
        <v>171</v>
      </c>
      <c r="J507">
        <v>2</v>
      </c>
    </row>
    <row r="508" spans="1:10" x14ac:dyDescent="0.25">
      <c r="A508">
        <v>114</v>
      </c>
      <c r="B508">
        <v>114</v>
      </c>
      <c r="C508" t="s">
        <v>593</v>
      </c>
      <c r="D508" t="s">
        <v>2917</v>
      </c>
      <c r="E508">
        <v>944</v>
      </c>
      <c r="F508" t="s">
        <v>594</v>
      </c>
      <c r="G508" t="s">
        <v>595</v>
      </c>
      <c r="H508" t="s">
        <v>596</v>
      </c>
      <c r="I508">
        <v>372</v>
      </c>
      <c r="J508">
        <v>1</v>
      </c>
    </row>
    <row r="509" spans="1:10" x14ac:dyDescent="0.25">
      <c r="A509">
        <v>431</v>
      </c>
      <c r="B509">
        <v>431</v>
      </c>
      <c r="C509" t="s">
        <v>2140</v>
      </c>
      <c r="D509" t="s">
        <v>2918</v>
      </c>
      <c r="E509" s="1">
        <v>1326</v>
      </c>
      <c r="F509" t="s">
        <v>2141</v>
      </c>
      <c r="G509" t="s">
        <v>2142</v>
      </c>
      <c r="H509" t="s">
        <v>2143</v>
      </c>
      <c r="I509">
        <v>61</v>
      </c>
      <c r="J509">
        <v>0</v>
      </c>
    </row>
    <row r="510" spans="1:10" x14ac:dyDescent="0.25">
      <c r="A510">
        <v>350</v>
      </c>
      <c r="B510">
        <v>350</v>
      </c>
      <c r="C510" t="s">
        <v>1745</v>
      </c>
      <c r="D510" t="s">
        <v>2916</v>
      </c>
      <c r="E510" s="1">
        <v>4299</v>
      </c>
      <c r="F510" t="s">
        <v>1746</v>
      </c>
      <c r="G510" t="s">
        <v>1747</v>
      </c>
      <c r="H510" t="s">
        <v>1748</v>
      </c>
      <c r="I510" s="1">
        <v>7321</v>
      </c>
      <c r="J510">
        <v>3</v>
      </c>
    </row>
    <row r="511" spans="1:10" x14ac:dyDescent="0.25">
      <c r="A511">
        <v>351</v>
      </c>
      <c r="B511">
        <v>351</v>
      </c>
      <c r="C511" t="s">
        <v>1750</v>
      </c>
      <c r="D511" t="s">
        <v>2917</v>
      </c>
      <c r="E511" s="1">
        <v>17191</v>
      </c>
      <c r="F511" t="s">
        <v>1751</v>
      </c>
      <c r="G511" t="s">
        <v>1752</v>
      </c>
      <c r="H511" t="s">
        <v>1753</v>
      </c>
      <c r="I511">
        <v>103</v>
      </c>
      <c r="J511">
        <v>6</v>
      </c>
    </row>
    <row r="512" spans="1:10" x14ac:dyDescent="0.25">
      <c r="A512">
        <v>453</v>
      </c>
      <c r="B512">
        <v>453</v>
      </c>
      <c r="C512" t="s">
        <v>2246</v>
      </c>
      <c r="D512" t="s">
        <v>2916</v>
      </c>
      <c r="E512" s="1">
        <v>2344</v>
      </c>
      <c r="F512" t="s">
        <v>2247</v>
      </c>
      <c r="G512" t="s">
        <v>2248</v>
      </c>
      <c r="H512" t="s">
        <v>2249</v>
      </c>
      <c r="I512">
        <v>1</v>
      </c>
      <c r="J512">
        <v>2</v>
      </c>
    </row>
    <row r="513" spans="1:10" x14ac:dyDescent="0.25">
      <c r="A513">
        <v>286</v>
      </c>
      <c r="B513">
        <v>286</v>
      </c>
      <c r="C513" t="s">
        <v>1434</v>
      </c>
      <c r="D513" t="s">
        <v>2917</v>
      </c>
      <c r="E513" s="1">
        <v>3364</v>
      </c>
      <c r="F513" t="s">
        <v>1435</v>
      </c>
      <c r="G513" t="s">
        <v>1436</v>
      </c>
      <c r="H513" t="s">
        <v>1437</v>
      </c>
      <c r="I513">
        <v>79</v>
      </c>
      <c r="J513">
        <v>2</v>
      </c>
    </row>
    <row r="514" spans="1:10" x14ac:dyDescent="0.25">
      <c r="A514">
        <v>560</v>
      </c>
      <c r="B514">
        <v>560</v>
      </c>
      <c r="C514" t="s">
        <v>2755</v>
      </c>
      <c r="D514" t="s">
        <v>2917</v>
      </c>
      <c r="E514" s="1">
        <v>3088</v>
      </c>
      <c r="F514" t="s">
        <v>2756</v>
      </c>
      <c r="G514" t="s">
        <v>2757</v>
      </c>
      <c r="H514" t="s">
        <v>2758</v>
      </c>
      <c r="I514" s="1">
        <v>5550</v>
      </c>
      <c r="J514">
        <v>1</v>
      </c>
    </row>
    <row r="515" spans="1:10" x14ac:dyDescent="0.25">
      <c r="A515">
        <v>525</v>
      </c>
      <c r="B515">
        <v>525</v>
      </c>
      <c r="C515" t="s">
        <v>2585</v>
      </c>
      <c r="D515" t="s">
        <v>2917</v>
      </c>
      <c r="E515" s="1">
        <v>211418</v>
      </c>
      <c r="F515" t="s">
        <v>2586</v>
      </c>
      <c r="G515" t="s">
        <v>2587</v>
      </c>
      <c r="H515" t="s">
        <v>2588</v>
      </c>
      <c r="I515" s="1">
        <v>1184</v>
      </c>
      <c r="J515">
        <v>4</v>
      </c>
    </row>
    <row r="516" spans="1:10" x14ac:dyDescent="0.25">
      <c r="A516">
        <v>459</v>
      </c>
      <c r="B516">
        <v>459</v>
      </c>
      <c r="C516" t="s">
        <v>2274</v>
      </c>
      <c r="D516" t="s">
        <v>2917</v>
      </c>
      <c r="E516" s="1">
        <v>3302</v>
      </c>
      <c r="F516" t="s">
        <v>2275</v>
      </c>
      <c r="G516" t="s">
        <v>2276</v>
      </c>
      <c r="H516" t="s">
        <v>2277</v>
      </c>
      <c r="I516" s="1">
        <v>7829</v>
      </c>
      <c r="J516">
        <v>6</v>
      </c>
    </row>
    <row r="517" spans="1:10" x14ac:dyDescent="0.25">
      <c r="A517">
        <v>121</v>
      </c>
      <c r="B517">
        <v>121</v>
      </c>
      <c r="C517" t="s">
        <v>628</v>
      </c>
      <c r="D517" t="s">
        <v>2916</v>
      </c>
      <c r="E517" s="1">
        <v>3642</v>
      </c>
      <c r="F517" t="s">
        <v>629</v>
      </c>
      <c r="G517" t="s">
        <v>630</v>
      </c>
      <c r="H517" t="s">
        <v>631</v>
      </c>
      <c r="I517" s="1">
        <v>1599</v>
      </c>
      <c r="J517">
        <v>1</v>
      </c>
    </row>
    <row r="518" spans="1:10" x14ac:dyDescent="0.25">
      <c r="A518">
        <v>553</v>
      </c>
      <c r="B518">
        <v>553</v>
      </c>
      <c r="C518" t="s">
        <v>2721</v>
      </c>
      <c r="D518" t="s">
        <v>2917</v>
      </c>
      <c r="E518" s="1">
        <v>18371</v>
      </c>
      <c r="F518" t="s">
        <v>2722</v>
      </c>
      <c r="G518" t="s">
        <v>2723</v>
      </c>
      <c r="H518" t="s">
        <v>2724</v>
      </c>
      <c r="I518">
        <v>611</v>
      </c>
      <c r="J518">
        <v>7</v>
      </c>
    </row>
    <row r="519" spans="1:10" x14ac:dyDescent="0.25">
      <c r="A519">
        <v>376</v>
      </c>
      <c r="B519">
        <v>376</v>
      </c>
      <c r="C519" t="s">
        <v>1873</v>
      </c>
      <c r="D519" t="s">
        <v>2916</v>
      </c>
      <c r="E519">
        <v>742</v>
      </c>
      <c r="F519" t="s">
        <v>1874</v>
      </c>
      <c r="G519" t="s">
        <v>1875</v>
      </c>
      <c r="H519" t="s">
        <v>1876</v>
      </c>
      <c r="I519">
        <v>698</v>
      </c>
      <c r="J519">
        <v>1</v>
      </c>
    </row>
    <row r="520" spans="1:10" x14ac:dyDescent="0.25">
      <c r="A520">
        <v>223</v>
      </c>
      <c r="B520">
        <v>223</v>
      </c>
      <c r="C520" t="s">
        <v>1129</v>
      </c>
      <c r="D520" t="s">
        <v>2916</v>
      </c>
      <c r="E520" s="1">
        <v>3404</v>
      </c>
      <c r="F520" t="s">
        <v>1130</v>
      </c>
      <c r="G520" t="s">
        <v>1131</v>
      </c>
      <c r="H520" t="s">
        <v>1132</v>
      </c>
      <c r="I520">
        <v>137</v>
      </c>
      <c r="J520">
        <v>1</v>
      </c>
    </row>
    <row r="521" spans="1:10" x14ac:dyDescent="0.25">
      <c r="A521">
        <v>192</v>
      </c>
      <c r="B521">
        <v>192</v>
      </c>
      <c r="C521" t="s">
        <v>977</v>
      </c>
      <c r="D521" t="s">
        <v>2917</v>
      </c>
      <c r="E521" s="1">
        <v>13722</v>
      </c>
      <c r="F521" t="s">
        <v>978</v>
      </c>
      <c r="G521" t="s">
        <v>979</v>
      </c>
      <c r="H521" t="s">
        <v>980</v>
      </c>
      <c r="I521">
        <v>310</v>
      </c>
      <c r="J521">
        <v>2</v>
      </c>
    </row>
    <row r="522" spans="1:10" x14ac:dyDescent="0.25">
      <c r="A522">
        <v>115</v>
      </c>
      <c r="B522">
        <v>115</v>
      </c>
      <c r="C522" t="s">
        <v>598</v>
      </c>
      <c r="D522" t="s">
        <v>2916</v>
      </c>
      <c r="E522" s="1">
        <v>8410</v>
      </c>
      <c r="F522" t="s">
        <v>599</v>
      </c>
      <c r="G522" t="s">
        <v>600</v>
      </c>
      <c r="H522" t="s">
        <v>601</v>
      </c>
      <c r="I522" s="1">
        <v>3527</v>
      </c>
      <c r="J522">
        <v>1</v>
      </c>
    </row>
    <row r="523" spans="1:10" x14ac:dyDescent="0.25">
      <c r="A523">
        <v>398</v>
      </c>
      <c r="B523">
        <v>398</v>
      </c>
      <c r="C523" t="s">
        <v>1980</v>
      </c>
      <c r="D523" t="s">
        <v>2916</v>
      </c>
      <c r="E523" s="1">
        <v>1878</v>
      </c>
      <c r="F523" t="s">
        <v>1981</v>
      </c>
      <c r="G523" t="s">
        <v>1982</v>
      </c>
      <c r="H523" t="s">
        <v>1983</v>
      </c>
      <c r="I523" s="1">
        <v>1606</v>
      </c>
      <c r="J523">
        <v>2</v>
      </c>
    </row>
    <row r="524" spans="1:10" x14ac:dyDescent="0.25">
      <c r="A524">
        <v>335</v>
      </c>
      <c r="B524">
        <v>335</v>
      </c>
      <c r="C524" t="s">
        <v>1672</v>
      </c>
      <c r="D524" t="s">
        <v>2916</v>
      </c>
      <c r="E524" s="1">
        <v>5446</v>
      </c>
      <c r="F524" t="s">
        <v>1673</v>
      </c>
      <c r="G524" t="s">
        <v>1674</v>
      </c>
      <c r="H524" t="s">
        <v>1675</v>
      </c>
      <c r="I524" s="1">
        <v>1484</v>
      </c>
      <c r="J524">
        <v>6</v>
      </c>
    </row>
    <row r="525" spans="1:10" x14ac:dyDescent="0.25">
      <c r="A525">
        <v>287</v>
      </c>
      <c r="B525">
        <v>287</v>
      </c>
      <c r="C525" t="s">
        <v>1439</v>
      </c>
      <c r="D525" t="s">
        <v>2917</v>
      </c>
      <c r="E525" s="1">
        <v>13646</v>
      </c>
      <c r="F525" t="s">
        <v>1440</v>
      </c>
      <c r="G525" t="s">
        <v>1441</v>
      </c>
      <c r="H525" t="s">
        <v>1442</v>
      </c>
      <c r="I525">
        <v>389</v>
      </c>
      <c r="J525">
        <v>3</v>
      </c>
    </row>
    <row r="526" spans="1:10" x14ac:dyDescent="0.25">
      <c r="A526">
        <v>174</v>
      </c>
      <c r="B526">
        <v>174</v>
      </c>
      <c r="C526" t="s">
        <v>888</v>
      </c>
      <c r="D526" t="s">
        <v>2916</v>
      </c>
      <c r="E526" s="1">
        <v>3144</v>
      </c>
      <c r="F526" t="s">
        <v>889</v>
      </c>
      <c r="G526" t="s">
        <v>890</v>
      </c>
      <c r="H526" t="s">
        <v>891</v>
      </c>
      <c r="I526">
        <v>147</v>
      </c>
      <c r="J526">
        <v>1</v>
      </c>
    </row>
    <row r="527" spans="1:10" x14ac:dyDescent="0.25">
      <c r="A527">
        <v>11</v>
      </c>
      <c r="B527">
        <v>11</v>
      </c>
      <c r="C527" t="s">
        <v>76</v>
      </c>
      <c r="D527" t="s">
        <v>2916</v>
      </c>
      <c r="E527">
        <v>924</v>
      </c>
      <c r="F527" t="s">
        <v>77</v>
      </c>
      <c r="G527" t="s">
        <v>78</v>
      </c>
      <c r="H527" t="s">
        <v>79</v>
      </c>
      <c r="I527" s="1">
        <v>11294</v>
      </c>
      <c r="J527">
        <v>1</v>
      </c>
    </row>
    <row r="528" spans="1:10" x14ac:dyDescent="0.25">
      <c r="A528">
        <v>22</v>
      </c>
      <c r="B528">
        <v>22</v>
      </c>
      <c r="C528" t="s">
        <v>133</v>
      </c>
      <c r="D528" t="s">
        <v>2917</v>
      </c>
      <c r="E528">
        <v>944</v>
      </c>
      <c r="F528" t="s">
        <v>134</v>
      </c>
      <c r="G528" t="s">
        <v>135</v>
      </c>
      <c r="H528" t="s">
        <v>136</v>
      </c>
      <c r="I528" s="1">
        <v>12794</v>
      </c>
      <c r="J528">
        <v>3</v>
      </c>
    </row>
    <row r="529" spans="1:10" x14ac:dyDescent="0.25">
      <c r="A529">
        <v>518</v>
      </c>
      <c r="B529">
        <v>518</v>
      </c>
      <c r="C529" t="s">
        <v>2551</v>
      </c>
      <c r="D529" t="s">
        <v>2917</v>
      </c>
      <c r="E529" s="1">
        <v>2113</v>
      </c>
      <c r="F529" t="s">
        <v>2552</v>
      </c>
      <c r="G529" t="s">
        <v>2553</v>
      </c>
      <c r="H529" t="s">
        <v>2554</v>
      </c>
      <c r="I529">
        <v>147</v>
      </c>
      <c r="J529">
        <v>1</v>
      </c>
    </row>
    <row r="530" spans="1:10" x14ac:dyDescent="0.25">
      <c r="A530">
        <v>302</v>
      </c>
      <c r="B530">
        <v>302</v>
      </c>
      <c r="C530" t="s">
        <v>1510</v>
      </c>
      <c r="D530" t="s">
        <v>2916</v>
      </c>
      <c r="E530" s="1">
        <v>1032</v>
      </c>
      <c r="F530" t="s">
        <v>1511</v>
      </c>
      <c r="G530" t="s">
        <v>1512</v>
      </c>
      <c r="H530" t="s">
        <v>1513</v>
      </c>
      <c r="I530" s="1">
        <v>4590</v>
      </c>
      <c r="J530">
        <v>1</v>
      </c>
    </row>
    <row r="531" spans="1:10" x14ac:dyDescent="0.25">
      <c r="A531">
        <v>426</v>
      </c>
      <c r="B531">
        <v>426</v>
      </c>
      <c r="C531" t="s">
        <v>2115</v>
      </c>
      <c r="D531" t="s">
        <v>2916</v>
      </c>
      <c r="E531" s="1">
        <v>2985</v>
      </c>
      <c r="F531" t="s">
        <v>2116</v>
      </c>
      <c r="G531" t="s">
        <v>2117</v>
      </c>
      <c r="H531" t="s">
        <v>2118</v>
      </c>
      <c r="I531" s="1">
        <v>2027</v>
      </c>
      <c r="J531">
        <v>2</v>
      </c>
    </row>
    <row r="532" spans="1:10" x14ac:dyDescent="0.25">
      <c r="A532">
        <v>236</v>
      </c>
      <c r="B532">
        <v>236</v>
      </c>
      <c r="C532" t="s">
        <v>1193</v>
      </c>
      <c r="D532" t="s">
        <v>2916</v>
      </c>
      <c r="E532" s="1">
        <v>6671</v>
      </c>
      <c r="F532" t="s">
        <v>1194</v>
      </c>
      <c r="G532" t="s">
        <v>1195</v>
      </c>
      <c r="H532" t="s">
        <v>1196</v>
      </c>
      <c r="I532" s="1">
        <v>1365</v>
      </c>
      <c r="J532">
        <v>1</v>
      </c>
    </row>
    <row r="533" spans="1:10" x14ac:dyDescent="0.25">
      <c r="A533">
        <v>206</v>
      </c>
      <c r="B533">
        <v>206</v>
      </c>
      <c r="C533" t="s">
        <v>1046</v>
      </c>
      <c r="D533" t="s">
        <v>2916</v>
      </c>
      <c r="E533">
        <v>800</v>
      </c>
      <c r="F533" t="s">
        <v>1047</v>
      </c>
      <c r="G533" t="s">
        <v>1048</v>
      </c>
      <c r="H533" t="s">
        <v>1049</v>
      </c>
      <c r="I533">
        <v>583</v>
      </c>
      <c r="J533">
        <v>1</v>
      </c>
    </row>
    <row r="534" spans="1:10" x14ac:dyDescent="0.25">
      <c r="A534">
        <v>230</v>
      </c>
      <c r="B534">
        <v>230</v>
      </c>
      <c r="C534" t="s">
        <v>1163</v>
      </c>
      <c r="D534" t="s">
        <v>2916</v>
      </c>
      <c r="E534" s="1">
        <v>9139</v>
      </c>
      <c r="F534" t="s">
        <v>1164</v>
      </c>
      <c r="G534" t="s">
        <v>1165</v>
      </c>
      <c r="H534" t="s">
        <v>1166</v>
      </c>
      <c r="I534">
        <v>451</v>
      </c>
      <c r="J534">
        <v>2</v>
      </c>
    </row>
    <row r="535" spans="1:10" x14ac:dyDescent="0.25">
      <c r="A535">
        <v>15</v>
      </c>
      <c r="B535">
        <v>15</v>
      </c>
      <c r="C535" t="s">
        <v>97</v>
      </c>
      <c r="D535" t="s">
        <v>2917</v>
      </c>
      <c r="E535" s="1">
        <v>2376</v>
      </c>
      <c r="F535" t="s">
        <v>98</v>
      </c>
      <c r="G535" t="s">
        <v>99</v>
      </c>
      <c r="H535" t="s">
        <v>100</v>
      </c>
      <c r="I535" s="1">
        <v>11982</v>
      </c>
      <c r="J535">
        <v>2</v>
      </c>
    </row>
    <row r="536" spans="1:10" x14ac:dyDescent="0.25">
      <c r="A536">
        <v>349</v>
      </c>
      <c r="B536">
        <v>349</v>
      </c>
      <c r="C536" t="s">
        <v>1740</v>
      </c>
      <c r="D536" t="s">
        <v>2916</v>
      </c>
      <c r="E536" s="1">
        <v>2795</v>
      </c>
      <c r="F536" t="s">
        <v>1741</v>
      </c>
      <c r="G536" t="s">
        <v>1742</v>
      </c>
      <c r="H536" t="s">
        <v>1743</v>
      </c>
      <c r="I536">
        <v>875</v>
      </c>
      <c r="J536">
        <v>1</v>
      </c>
    </row>
    <row r="537" spans="1:10" x14ac:dyDescent="0.25">
      <c r="A537">
        <v>424</v>
      </c>
      <c r="B537">
        <v>424</v>
      </c>
      <c r="C537" t="s">
        <v>2106</v>
      </c>
      <c r="D537" t="s">
        <v>2918</v>
      </c>
      <c r="E537">
        <v>966</v>
      </c>
      <c r="F537" t="s">
        <v>2107</v>
      </c>
      <c r="G537" t="s">
        <v>2107</v>
      </c>
      <c r="H537" t="s">
        <v>2108</v>
      </c>
      <c r="I537" s="1">
        <v>1134</v>
      </c>
      <c r="J537">
        <v>0</v>
      </c>
    </row>
    <row r="538" spans="1:10" x14ac:dyDescent="0.25">
      <c r="A538">
        <v>537</v>
      </c>
      <c r="B538">
        <v>537</v>
      </c>
      <c r="C538" t="s">
        <v>2643</v>
      </c>
      <c r="D538" t="s">
        <v>2916</v>
      </c>
      <c r="E538">
        <v>195</v>
      </c>
      <c r="F538" t="s">
        <v>2644</v>
      </c>
      <c r="G538" t="s">
        <v>2645</v>
      </c>
      <c r="H538" t="s">
        <v>2646</v>
      </c>
      <c r="I538">
        <v>138</v>
      </c>
      <c r="J538">
        <v>1</v>
      </c>
    </row>
    <row r="539" spans="1:10" x14ac:dyDescent="0.25">
      <c r="A539">
        <v>345</v>
      </c>
      <c r="B539">
        <v>345</v>
      </c>
      <c r="C539" t="s">
        <v>1720</v>
      </c>
      <c r="D539" t="s">
        <v>2916</v>
      </c>
      <c r="E539" s="1">
        <v>1547</v>
      </c>
      <c r="F539" t="s">
        <v>1721</v>
      </c>
      <c r="G539" t="s">
        <v>1722</v>
      </c>
      <c r="H539" t="s">
        <v>1723</v>
      </c>
      <c r="I539" s="1">
        <v>1613</v>
      </c>
      <c r="J539">
        <v>2</v>
      </c>
    </row>
    <row r="540" spans="1:10" x14ac:dyDescent="0.25">
      <c r="A540">
        <v>517</v>
      </c>
      <c r="B540">
        <v>517</v>
      </c>
      <c r="C540" t="s">
        <v>2546</v>
      </c>
      <c r="D540" t="s">
        <v>2917</v>
      </c>
      <c r="E540" s="1">
        <v>2663</v>
      </c>
      <c r="F540" t="s">
        <v>2547</v>
      </c>
      <c r="G540" t="s">
        <v>2548</v>
      </c>
      <c r="H540" t="s">
        <v>2549</v>
      </c>
      <c r="I540">
        <v>299</v>
      </c>
      <c r="J540">
        <v>1</v>
      </c>
    </row>
    <row r="541" spans="1:10" x14ac:dyDescent="0.25">
      <c r="A541">
        <v>333</v>
      </c>
      <c r="B541">
        <v>333</v>
      </c>
      <c r="C541" t="s">
        <v>1662</v>
      </c>
      <c r="D541" t="s">
        <v>2916</v>
      </c>
      <c r="E541" s="1">
        <v>10355</v>
      </c>
      <c r="F541" t="s">
        <v>1663</v>
      </c>
      <c r="G541" t="s">
        <v>1664</v>
      </c>
      <c r="H541" t="s">
        <v>1665</v>
      </c>
      <c r="I541">
        <v>63</v>
      </c>
      <c r="J541">
        <v>1</v>
      </c>
    </row>
    <row r="542" spans="1:10" x14ac:dyDescent="0.25">
      <c r="A542">
        <v>157</v>
      </c>
      <c r="B542">
        <v>157</v>
      </c>
      <c r="C542" t="s">
        <v>805</v>
      </c>
      <c r="D542" t="s">
        <v>2916</v>
      </c>
      <c r="E542" s="1">
        <v>4850</v>
      </c>
      <c r="F542" t="s">
        <v>806</v>
      </c>
      <c r="G542" t="s">
        <v>807</v>
      </c>
      <c r="H542" t="s">
        <v>808</v>
      </c>
      <c r="I542">
        <v>109</v>
      </c>
      <c r="J542">
        <v>2</v>
      </c>
    </row>
    <row r="543" spans="1:10" x14ac:dyDescent="0.25">
      <c r="A543">
        <v>543</v>
      </c>
      <c r="B543">
        <v>543</v>
      </c>
      <c r="C543" t="s">
        <v>2672</v>
      </c>
      <c r="D543" t="s">
        <v>2917</v>
      </c>
      <c r="E543" s="1">
        <v>3769</v>
      </c>
      <c r="F543" t="s">
        <v>2673</v>
      </c>
      <c r="G543" t="s">
        <v>2674</v>
      </c>
      <c r="H543" t="s">
        <v>2675</v>
      </c>
      <c r="I543">
        <v>143</v>
      </c>
      <c r="J543">
        <v>1</v>
      </c>
    </row>
    <row r="544" spans="1:10" x14ac:dyDescent="0.25">
      <c r="A544">
        <v>455</v>
      </c>
      <c r="B544">
        <v>455</v>
      </c>
      <c r="C544" t="s">
        <v>2256</v>
      </c>
      <c r="D544" t="s">
        <v>2916</v>
      </c>
      <c r="E544" s="1">
        <v>11660</v>
      </c>
      <c r="F544" t="s">
        <v>2257</v>
      </c>
      <c r="G544" t="s">
        <v>2258</v>
      </c>
      <c r="H544" t="s">
        <v>2259</v>
      </c>
      <c r="I544" s="1">
        <v>1011</v>
      </c>
      <c r="J544">
        <v>1</v>
      </c>
    </row>
    <row r="545" spans="1:10" x14ac:dyDescent="0.25">
      <c r="A545">
        <v>457</v>
      </c>
      <c r="B545">
        <v>457</v>
      </c>
      <c r="C545" t="s">
        <v>2265</v>
      </c>
      <c r="D545" t="s">
        <v>2916</v>
      </c>
      <c r="E545" s="1">
        <v>30000</v>
      </c>
      <c r="F545" t="s">
        <v>2266</v>
      </c>
      <c r="G545" t="s">
        <v>2267</v>
      </c>
      <c r="H545" t="s">
        <v>2268</v>
      </c>
      <c r="I545">
        <v>459</v>
      </c>
      <c r="J545">
        <v>1</v>
      </c>
    </row>
    <row r="546" spans="1:10" x14ac:dyDescent="0.25">
      <c r="A546">
        <v>540</v>
      </c>
      <c r="B546">
        <v>540</v>
      </c>
      <c r="C546" t="s">
        <v>2657</v>
      </c>
      <c r="D546" t="s">
        <v>2916</v>
      </c>
      <c r="E546" s="1">
        <v>9435</v>
      </c>
      <c r="F546" t="s">
        <v>2658</v>
      </c>
      <c r="G546" t="s">
        <v>2659</v>
      </c>
      <c r="H546" t="s">
        <v>2660</v>
      </c>
      <c r="I546">
        <v>265</v>
      </c>
      <c r="J546">
        <v>1</v>
      </c>
    </row>
    <row r="547" spans="1:10" x14ac:dyDescent="0.25">
      <c r="A547">
        <v>478</v>
      </c>
      <c r="B547">
        <v>478</v>
      </c>
      <c r="C547" t="s">
        <v>2366</v>
      </c>
      <c r="D547" t="s">
        <v>2917</v>
      </c>
      <c r="E547" s="1">
        <v>9098</v>
      </c>
      <c r="F547" t="s">
        <v>2367</v>
      </c>
      <c r="G547" t="s">
        <v>2368</v>
      </c>
      <c r="H547" t="s">
        <v>2369</v>
      </c>
      <c r="I547" s="1">
        <v>4456</v>
      </c>
      <c r="J547">
        <v>1</v>
      </c>
    </row>
    <row r="548" spans="1:10" x14ac:dyDescent="0.25">
      <c r="A548">
        <v>148</v>
      </c>
      <c r="B548">
        <v>148</v>
      </c>
      <c r="C548" t="s">
        <v>760</v>
      </c>
      <c r="D548" t="s">
        <v>2916</v>
      </c>
      <c r="E548" s="1">
        <v>11415</v>
      </c>
      <c r="F548" t="s">
        <v>761</v>
      </c>
      <c r="G548" t="s">
        <v>762</v>
      </c>
      <c r="H548" t="s">
        <v>763</v>
      </c>
      <c r="I548" s="1">
        <v>2258</v>
      </c>
      <c r="J548">
        <v>1</v>
      </c>
    </row>
    <row r="549" spans="1:10" x14ac:dyDescent="0.25">
      <c r="A549">
        <v>117</v>
      </c>
      <c r="B549">
        <v>117</v>
      </c>
      <c r="C549" t="s">
        <v>608</v>
      </c>
      <c r="D549" t="s">
        <v>2916</v>
      </c>
      <c r="E549">
        <v>472</v>
      </c>
      <c r="F549" t="s">
        <v>609</v>
      </c>
      <c r="G549" t="s">
        <v>610</v>
      </c>
      <c r="H549" t="s">
        <v>611</v>
      </c>
      <c r="I549">
        <v>387</v>
      </c>
      <c r="J549">
        <v>1</v>
      </c>
    </row>
    <row r="550" spans="1:10" x14ac:dyDescent="0.25">
      <c r="A550">
        <v>143</v>
      </c>
      <c r="B550">
        <v>143</v>
      </c>
      <c r="C550" t="s">
        <v>737</v>
      </c>
      <c r="D550" t="s">
        <v>2917</v>
      </c>
      <c r="E550" s="1">
        <v>1974</v>
      </c>
      <c r="F550" t="s">
        <v>738</v>
      </c>
      <c r="G550" t="s">
        <v>739</v>
      </c>
      <c r="H550" t="s">
        <v>740</v>
      </c>
      <c r="I550" s="1">
        <v>2809</v>
      </c>
      <c r="J550">
        <v>2</v>
      </c>
    </row>
    <row r="551" spans="1:10" x14ac:dyDescent="0.25">
      <c r="A551">
        <v>0</v>
      </c>
      <c r="B551">
        <v>0</v>
      </c>
      <c r="C551" t="s">
        <v>12</v>
      </c>
      <c r="D551" t="s">
        <v>2917</v>
      </c>
      <c r="E551">
        <v>469</v>
      </c>
      <c r="F551" t="s">
        <v>13</v>
      </c>
      <c r="G551" t="s">
        <v>14</v>
      </c>
      <c r="H551" t="s">
        <v>15</v>
      </c>
      <c r="I551" s="1">
        <v>10072</v>
      </c>
      <c r="J551">
        <v>2</v>
      </c>
    </row>
    <row r="552" spans="1:10" x14ac:dyDescent="0.25">
      <c r="A552">
        <v>125</v>
      </c>
      <c r="B552">
        <v>125</v>
      </c>
      <c r="C552" t="s">
        <v>648</v>
      </c>
      <c r="D552" t="s">
        <v>2917</v>
      </c>
      <c r="E552" s="1">
        <v>1422</v>
      </c>
      <c r="F552" t="s">
        <v>649</v>
      </c>
      <c r="G552" t="s">
        <v>650</v>
      </c>
      <c r="H552" t="s">
        <v>651</v>
      </c>
      <c r="I552">
        <v>101</v>
      </c>
      <c r="J552">
        <v>2</v>
      </c>
    </row>
    <row r="553" spans="1:10" x14ac:dyDescent="0.25">
      <c r="A553">
        <v>202</v>
      </c>
      <c r="B553">
        <v>202</v>
      </c>
      <c r="C553" t="s">
        <v>1027</v>
      </c>
      <c r="D553" t="s">
        <v>2917</v>
      </c>
      <c r="E553" s="1">
        <v>2453</v>
      </c>
      <c r="F553" t="s">
        <v>1028</v>
      </c>
      <c r="G553" t="s">
        <v>1029</v>
      </c>
      <c r="H553" t="s">
        <v>34</v>
      </c>
      <c r="I553" s="1">
        <v>1405</v>
      </c>
      <c r="J553">
        <v>3</v>
      </c>
    </row>
    <row r="554" spans="1:10" x14ac:dyDescent="0.25">
      <c r="A554">
        <v>257</v>
      </c>
      <c r="B554">
        <v>257</v>
      </c>
      <c r="C554" t="s">
        <v>1294</v>
      </c>
      <c r="D554" t="s">
        <v>2916</v>
      </c>
      <c r="E554" s="1">
        <v>8498</v>
      </c>
      <c r="F554" t="s">
        <v>1295</v>
      </c>
      <c r="G554" t="s">
        <v>1296</v>
      </c>
      <c r="H554" t="s">
        <v>1297</v>
      </c>
      <c r="I554">
        <v>514</v>
      </c>
      <c r="J554">
        <v>2</v>
      </c>
    </row>
    <row r="555" spans="1:10" x14ac:dyDescent="0.25">
      <c r="A555">
        <v>133</v>
      </c>
      <c r="B555">
        <v>133</v>
      </c>
      <c r="C555" t="s">
        <v>688</v>
      </c>
      <c r="D555" t="s">
        <v>2916</v>
      </c>
      <c r="E555">
        <v>798</v>
      </c>
      <c r="F555" t="s">
        <v>689</v>
      </c>
      <c r="G555" t="s">
        <v>690</v>
      </c>
      <c r="H555" t="s">
        <v>691</v>
      </c>
      <c r="I555">
        <v>188</v>
      </c>
      <c r="J555">
        <v>1</v>
      </c>
    </row>
    <row r="556" spans="1:10" x14ac:dyDescent="0.25">
      <c r="A556">
        <v>551</v>
      </c>
      <c r="B556">
        <v>551</v>
      </c>
      <c r="C556" t="s">
        <v>2711</v>
      </c>
      <c r="D556" t="s">
        <v>2916</v>
      </c>
      <c r="E556" s="1">
        <v>4635</v>
      </c>
      <c r="F556" t="s">
        <v>2712</v>
      </c>
      <c r="G556" t="s">
        <v>2713</v>
      </c>
      <c r="H556" t="s">
        <v>2714</v>
      </c>
      <c r="I556" s="1">
        <v>7422</v>
      </c>
      <c r="J556">
        <v>2</v>
      </c>
    </row>
    <row r="557" spans="1:10" x14ac:dyDescent="0.25">
      <c r="A557">
        <v>297</v>
      </c>
      <c r="B557">
        <v>297</v>
      </c>
      <c r="C557" t="s">
        <v>1485</v>
      </c>
      <c r="D557" t="s">
        <v>2917</v>
      </c>
      <c r="E557">
        <v>517</v>
      </c>
      <c r="F557" t="s">
        <v>1486</v>
      </c>
      <c r="G557" t="s">
        <v>1487</v>
      </c>
      <c r="H557" t="s">
        <v>1488</v>
      </c>
      <c r="I557">
        <v>641</v>
      </c>
      <c r="J557">
        <v>3</v>
      </c>
    </row>
    <row r="558" spans="1:10" x14ac:dyDescent="0.25">
      <c r="A558">
        <v>465</v>
      </c>
      <c r="B558">
        <v>465</v>
      </c>
      <c r="C558" t="s">
        <v>2304</v>
      </c>
      <c r="D558" t="s">
        <v>2917</v>
      </c>
      <c r="E558" s="1">
        <v>8826</v>
      </c>
      <c r="F558" t="s">
        <v>2305</v>
      </c>
      <c r="G558" t="s">
        <v>2306</v>
      </c>
      <c r="H558" t="s">
        <v>2307</v>
      </c>
      <c r="I558" s="1">
        <v>5262</v>
      </c>
      <c r="J558">
        <v>5</v>
      </c>
    </row>
    <row r="559" spans="1:10" x14ac:dyDescent="0.25">
      <c r="A559">
        <v>569</v>
      </c>
      <c r="B559">
        <v>569</v>
      </c>
      <c r="C559" t="s">
        <v>2798</v>
      </c>
      <c r="D559" t="s">
        <v>2917</v>
      </c>
      <c r="E559">
        <v>232</v>
      </c>
      <c r="F559" t="s">
        <v>2799</v>
      </c>
      <c r="G559" t="s">
        <v>2800</v>
      </c>
      <c r="H559" t="s">
        <v>2801</v>
      </c>
      <c r="I559" s="1">
        <v>1109</v>
      </c>
      <c r="J559">
        <v>1</v>
      </c>
    </row>
    <row r="560" spans="1:10" x14ac:dyDescent="0.25">
      <c r="A560">
        <v>126</v>
      </c>
      <c r="B560">
        <v>126</v>
      </c>
      <c r="C560" t="s">
        <v>653</v>
      </c>
      <c r="D560" t="s">
        <v>2918</v>
      </c>
      <c r="E560" s="1">
        <v>1167</v>
      </c>
      <c r="F560" t="s">
        <v>654</v>
      </c>
      <c r="G560" t="s">
        <v>655</v>
      </c>
      <c r="H560" t="s">
        <v>656</v>
      </c>
      <c r="I560" s="1">
        <v>1196</v>
      </c>
      <c r="J560">
        <v>0</v>
      </c>
    </row>
    <row r="561" spans="1:10" x14ac:dyDescent="0.25">
      <c r="A561">
        <v>277</v>
      </c>
      <c r="B561">
        <v>277</v>
      </c>
      <c r="C561" t="s">
        <v>1390</v>
      </c>
      <c r="D561" t="s">
        <v>2917</v>
      </c>
      <c r="E561" s="1">
        <v>4628</v>
      </c>
      <c r="F561" t="s">
        <v>1391</v>
      </c>
      <c r="G561" t="s">
        <v>1392</v>
      </c>
      <c r="H561" t="s">
        <v>1393</v>
      </c>
      <c r="I561">
        <v>377</v>
      </c>
      <c r="J561">
        <v>1</v>
      </c>
    </row>
    <row r="562" spans="1:10" x14ac:dyDescent="0.25">
      <c r="A562">
        <v>354</v>
      </c>
      <c r="B562">
        <v>354</v>
      </c>
      <c r="C562" t="s">
        <v>1765</v>
      </c>
      <c r="D562" t="s">
        <v>2916</v>
      </c>
      <c r="E562" s="1">
        <v>35277</v>
      </c>
      <c r="F562" t="s">
        <v>1766</v>
      </c>
      <c r="G562" t="s">
        <v>1767</v>
      </c>
      <c r="H562" t="s">
        <v>1768</v>
      </c>
      <c r="I562">
        <v>292</v>
      </c>
      <c r="J562">
        <v>2</v>
      </c>
    </row>
    <row r="563" spans="1:10" x14ac:dyDescent="0.25">
      <c r="A563">
        <v>205</v>
      </c>
      <c r="B563">
        <v>205</v>
      </c>
      <c r="C563" t="s">
        <v>1041</v>
      </c>
      <c r="D563" t="s">
        <v>2916</v>
      </c>
      <c r="E563" s="1">
        <v>19304</v>
      </c>
      <c r="F563" t="s">
        <v>1042</v>
      </c>
      <c r="G563" t="s">
        <v>1043</v>
      </c>
      <c r="H563" t="s">
        <v>1044</v>
      </c>
      <c r="I563" s="1">
        <v>2237</v>
      </c>
      <c r="J563">
        <v>1</v>
      </c>
    </row>
    <row r="564" spans="1:10" x14ac:dyDescent="0.25">
      <c r="A564">
        <v>176</v>
      </c>
      <c r="B564">
        <v>176</v>
      </c>
      <c r="C564" t="s">
        <v>898</v>
      </c>
      <c r="D564" t="s">
        <v>2916</v>
      </c>
      <c r="E564" s="1">
        <v>3235</v>
      </c>
      <c r="F564" t="s">
        <v>899</v>
      </c>
      <c r="G564" t="s">
        <v>900</v>
      </c>
      <c r="H564" t="s">
        <v>901</v>
      </c>
      <c r="I564" s="1">
        <v>1349</v>
      </c>
      <c r="J564">
        <v>1</v>
      </c>
    </row>
    <row r="565" spans="1:10" x14ac:dyDescent="0.25">
      <c r="A565">
        <v>338</v>
      </c>
      <c r="B565">
        <v>338</v>
      </c>
      <c r="C565" t="s">
        <v>1687</v>
      </c>
      <c r="D565" t="s">
        <v>2916</v>
      </c>
      <c r="E565" s="1">
        <v>1261</v>
      </c>
      <c r="F565" t="s">
        <v>1688</v>
      </c>
      <c r="G565" t="s">
        <v>1689</v>
      </c>
      <c r="H565" t="s">
        <v>1690</v>
      </c>
      <c r="I565">
        <v>155</v>
      </c>
      <c r="J565">
        <v>3</v>
      </c>
    </row>
    <row r="566" spans="1:10" x14ac:dyDescent="0.25">
      <c r="A566">
        <v>440</v>
      </c>
      <c r="B566">
        <v>440</v>
      </c>
      <c r="C566" t="s">
        <v>2183</v>
      </c>
      <c r="D566" t="s">
        <v>2916</v>
      </c>
      <c r="E566">
        <v>210</v>
      </c>
      <c r="F566" t="s">
        <v>2184</v>
      </c>
      <c r="G566" t="s">
        <v>2185</v>
      </c>
      <c r="H566" t="s">
        <v>2186</v>
      </c>
      <c r="I566" s="1">
        <v>2911</v>
      </c>
      <c r="J566">
        <v>1</v>
      </c>
    </row>
    <row r="567" spans="1:10" x14ac:dyDescent="0.25">
      <c r="A567">
        <v>444</v>
      </c>
      <c r="B567">
        <v>444</v>
      </c>
      <c r="C567" t="s">
        <v>2201</v>
      </c>
      <c r="D567" t="s">
        <v>2917</v>
      </c>
      <c r="E567" s="1">
        <v>1458</v>
      </c>
      <c r="F567" t="s">
        <v>2202</v>
      </c>
      <c r="G567" t="s">
        <v>2203</v>
      </c>
      <c r="H567" t="s">
        <v>2204</v>
      </c>
      <c r="I567">
        <v>373</v>
      </c>
      <c r="J567">
        <v>3</v>
      </c>
    </row>
    <row r="568" spans="1:10" x14ac:dyDescent="0.25">
      <c r="A568">
        <v>251</v>
      </c>
      <c r="B568">
        <v>251</v>
      </c>
      <c r="C568" t="s">
        <v>1265</v>
      </c>
      <c r="D568" t="s">
        <v>2916</v>
      </c>
      <c r="E568" s="1">
        <v>2575</v>
      </c>
      <c r="F568" t="s">
        <v>1266</v>
      </c>
      <c r="G568" t="s">
        <v>1267</v>
      </c>
      <c r="H568" t="s">
        <v>1268</v>
      </c>
      <c r="I568">
        <v>619</v>
      </c>
      <c r="J568">
        <v>1</v>
      </c>
    </row>
    <row r="569" spans="1:10" x14ac:dyDescent="0.25">
      <c r="A569">
        <v>186</v>
      </c>
      <c r="B569">
        <v>186</v>
      </c>
      <c r="C569" t="s">
        <v>948</v>
      </c>
      <c r="D569" t="s">
        <v>2916</v>
      </c>
      <c r="E569" s="1">
        <v>3324</v>
      </c>
      <c r="F569" t="s">
        <v>949</v>
      </c>
      <c r="G569" t="s">
        <v>950</v>
      </c>
      <c r="H569" t="s">
        <v>951</v>
      </c>
      <c r="I569">
        <v>284</v>
      </c>
      <c r="J569">
        <v>1</v>
      </c>
    </row>
    <row r="570" spans="1:10" x14ac:dyDescent="0.25">
      <c r="A570">
        <v>446</v>
      </c>
      <c r="B570">
        <v>446</v>
      </c>
      <c r="C570" t="s">
        <v>2211</v>
      </c>
      <c r="D570" t="s">
        <v>2916</v>
      </c>
      <c r="E570" s="1">
        <v>5442</v>
      </c>
      <c r="F570" t="s">
        <v>2212</v>
      </c>
      <c r="G570" t="s">
        <v>2213</v>
      </c>
      <c r="H570" t="s">
        <v>2214</v>
      </c>
      <c r="I570">
        <v>961</v>
      </c>
      <c r="J570">
        <v>2</v>
      </c>
    </row>
    <row r="571" spans="1:10" x14ac:dyDescent="0.25">
      <c r="A571">
        <v>340</v>
      </c>
      <c r="B571">
        <v>340</v>
      </c>
      <c r="C571" t="s">
        <v>1696</v>
      </c>
      <c r="D571" t="s">
        <v>2916</v>
      </c>
      <c r="E571" s="1">
        <v>3753</v>
      </c>
      <c r="F571" t="s">
        <v>1697</v>
      </c>
      <c r="G571" t="s">
        <v>1698</v>
      </c>
      <c r="H571" t="s">
        <v>1699</v>
      </c>
      <c r="I571" s="1">
        <v>1447</v>
      </c>
      <c r="J571">
        <v>4</v>
      </c>
    </row>
    <row r="572" spans="1:10" x14ac:dyDescent="0.25">
      <c r="A572">
        <v>504</v>
      </c>
      <c r="B572">
        <v>504</v>
      </c>
      <c r="C572" t="s">
        <v>2483</v>
      </c>
      <c r="D572" t="s">
        <v>2916</v>
      </c>
      <c r="E572">
        <v>901</v>
      </c>
      <c r="F572" t="s">
        <v>2484</v>
      </c>
      <c r="G572" t="s">
        <v>2485</v>
      </c>
      <c r="H572" t="s">
        <v>2486</v>
      </c>
      <c r="I572">
        <v>186</v>
      </c>
      <c r="J572">
        <v>1</v>
      </c>
    </row>
    <row r="573" spans="1:10" x14ac:dyDescent="0.25">
      <c r="A573">
        <v>254</v>
      </c>
      <c r="B573">
        <v>254</v>
      </c>
      <c r="C573" t="s">
        <v>1280</v>
      </c>
      <c r="D573" t="s">
        <v>2918</v>
      </c>
      <c r="E573">
        <v>209</v>
      </c>
      <c r="F573" t="s">
        <v>1281</v>
      </c>
      <c r="G573" t="s">
        <v>1282</v>
      </c>
      <c r="H573" t="s">
        <v>1283</v>
      </c>
      <c r="I573">
        <v>401</v>
      </c>
      <c r="J573">
        <v>0</v>
      </c>
    </row>
    <row r="574" spans="1:10" x14ac:dyDescent="0.25">
      <c r="A574">
        <v>380</v>
      </c>
      <c r="B574">
        <v>380</v>
      </c>
      <c r="C574" t="s">
        <v>1893</v>
      </c>
      <c r="D574" t="s">
        <v>2917</v>
      </c>
      <c r="E574">
        <v>119</v>
      </c>
      <c r="F574" t="s">
        <v>1894</v>
      </c>
      <c r="G574" t="s">
        <v>1895</v>
      </c>
      <c r="H574" t="s">
        <v>1896</v>
      </c>
      <c r="I574" s="1">
        <v>2811</v>
      </c>
      <c r="J574">
        <v>1</v>
      </c>
    </row>
    <row r="575" spans="1:10" x14ac:dyDescent="0.25">
      <c r="A575">
        <v>112</v>
      </c>
      <c r="B575">
        <v>112</v>
      </c>
      <c r="C575" t="s">
        <v>583</v>
      </c>
      <c r="D575" t="s">
        <v>2917</v>
      </c>
      <c r="E575" s="1">
        <v>1686</v>
      </c>
      <c r="F575" t="s">
        <v>584</v>
      </c>
      <c r="G575" t="s">
        <v>585</v>
      </c>
      <c r="H575" t="s">
        <v>586</v>
      </c>
      <c r="I575">
        <v>313</v>
      </c>
      <c r="J575">
        <v>3</v>
      </c>
    </row>
    <row r="576" spans="1:10" x14ac:dyDescent="0.25">
      <c r="A576">
        <v>388</v>
      </c>
      <c r="B576">
        <v>388</v>
      </c>
      <c r="C576" t="s">
        <v>1932</v>
      </c>
      <c r="D576" t="s">
        <v>2916</v>
      </c>
      <c r="E576" s="1">
        <v>3153</v>
      </c>
      <c r="F576" t="s">
        <v>1933</v>
      </c>
      <c r="G576" t="s">
        <v>1934</v>
      </c>
      <c r="H576" t="s">
        <v>1935</v>
      </c>
      <c r="I576" s="1">
        <v>2129</v>
      </c>
      <c r="J576">
        <v>1</v>
      </c>
    </row>
    <row r="577" spans="1:10" x14ac:dyDescent="0.25">
      <c r="A577">
        <v>249</v>
      </c>
      <c r="B577">
        <v>249</v>
      </c>
      <c r="C577" t="s">
        <v>1255</v>
      </c>
      <c r="D577" t="s">
        <v>2916</v>
      </c>
      <c r="E577">
        <v>874</v>
      </c>
      <c r="F577" t="s">
        <v>1256</v>
      </c>
      <c r="G577" t="s">
        <v>1257</v>
      </c>
      <c r="H577" t="s">
        <v>1258</v>
      </c>
      <c r="I577" s="1">
        <v>1026</v>
      </c>
      <c r="J577">
        <v>2</v>
      </c>
    </row>
    <row r="578" spans="1:10" x14ac:dyDescent="0.25">
      <c r="A578">
        <v>18</v>
      </c>
      <c r="B578">
        <v>18</v>
      </c>
      <c r="C578" t="s">
        <v>113</v>
      </c>
      <c r="D578" t="s">
        <v>2916</v>
      </c>
      <c r="E578" s="1">
        <v>1329</v>
      </c>
      <c r="F578" t="s">
        <v>114</v>
      </c>
      <c r="G578" t="s">
        <v>115</v>
      </c>
      <c r="H578" t="s">
        <v>116</v>
      </c>
      <c r="I578" s="1">
        <v>12374</v>
      </c>
      <c r="J578">
        <v>5</v>
      </c>
    </row>
    <row r="579" spans="1:10" x14ac:dyDescent="0.25">
      <c r="A579">
        <v>252</v>
      </c>
      <c r="B579">
        <v>252</v>
      </c>
      <c r="C579" t="s">
        <v>1270</v>
      </c>
      <c r="D579" t="s">
        <v>2916</v>
      </c>
      <c r="E579" s="1">
        <v>7715</v>
      </c>
      <c r="F579" t="s">
        <v>1271</v>
      </c>
      <c r="G579" t="s">
        <v>1272</v>
      </c>
      <c r="H579" t="s">
        <v>1273</v>
      </c>
      <c r="I579">
        <v>783</v>
      </c>
      <c r="J579">
        <v>2</v>
      </c>
    </row>
    <row r="580" spans="1:10" x14ac:dyDescent="0.25">
      <c r="A580">
        <v>250</v>
      </c>
      <c r="B580">
        <v>250</v>
      </c>
      <c r="C580" t="s">
        <v>1260</v>
      </c>
      <c r="D580" t="s">
        <v>2916</v>
      </c>
      <c r="E580" s="1">
        <v>6095</v>
      </c>
      <c r="F580" t="s">
        <v>1261</v>
      </c>
      <c r="G580" t="s">
        <v>1262</v>
      </c>
      <c r="H580" t="s">
        <v>1263</v>
      </c>
      <c r="I580">
        <v>73</v>
      </c>
      <c r="J580">
        <v>1</v>
      </c>
    </row>
    <row r="581" spans="1:10" x14ac:dyDescent="0.25">
      <c r="A581">
        <v>75</v>
      </c>
      <c r="B581">
        <v>75</v>
      </c>
      <c r="C581" t="s">
        <v>402</v>
      </c>
      <c r="D581" t="s">
        <v>2916</v>
      </c>
      <c r="E581">
        <v>865</v>
      </c>
      <c r="F581" t="s">
        <v>403</v>
      </c>
      <c r="G581" t="s">
        <v>404</v>
      </c>
      <c r="H581" t="s">
        <v>405</v>
      </c>
      <c r="I581" s="1">
        <v>37391</v>
      </c>
      <c r="J581">
        <v>2</v>
      </c>
    </row>
    <row r="582" spans="1:10" x14ac:dyDescent="0.25">
      <c r="A582">
        <v>187</v>
      </c>
      <c r="B582">
        <v>187</v>
      </c>
      <c r="C582" t="s">
        <v>953</v>
      </c>
      <c r="D582" t="s">
        <v>2917</v>
      </c>
      <c r="E582">
        <v>135</v>
      </c>
      <c r="F582" t="s">
        <v>954</v>
      </c>
      <c r="G582" t="s">
        <v>955</v>
      </c>
      <c r="H582" t="s">
        <v>956</v>
      </c>
      <c r="I582">
        <v>709</v>
      </c>
      <c r="J582">
        <v>1</v>
      </c>
    </row>
    <row r="583" spans="1:10" x14ac:dyDescent="0.25">
      <c r="A583">
        <v>339</v>
      </c>
      <c r="B583">
        <v>339</v>
      </c>
      <c r="C583" t="s">
        <v>1692</v>
      </c>
      <c r="D583" t="s">
        <v>2916</v>
      </c>
      <c r="E583">
        <v>345</v>
      </c>
      <c r="F583" t="s">
        <v>1693</v>
      </c>
      <c r="G583" t="s">
        <v>1694</v>
      </c>
      <c r="J583">
        <v>5</v>
      </c>
    </row>
    <row r="584" spans="1:10" x14ac:dyDescent="0.25">
      <c r="A584">
        <v>120</v>
      </c>
      <c r="B584">
        <v>120</v>
      </c>
      <c r="C584" t="s">
        <v>623</v>
      </c>
      <c r="D584" t="s">
        <v>2916</v>
      </c>
      <c r="E584">
        <v>258</v>
      </c>
      <c r="F584" t="s">
        <v>624</v>
      </c>
      <c r="G584" t="s">
        <v>625</v>
      </c>
      <c r="H584" t="s">
        <v>626</v>
      </c>
      <c r="I584" s="1">
        <v>1032</v>
      </c>
      <c r="J584">
        <v>1</v>
      </c>
    </row>
    <row r="585" spans="1:10" x14ac:dyDescent="0.25">
      <c r="A585">
        <v>145</v>
      </c>
      <c r="B585">
        <v>145</v>
      </c>
      <c r="C585" t="s">
        <v>747</v>
      </c>
      <c r="D585" t="s">
        <v>2916</v>
      </c>
      <c r="E585">
        <v>681</v>
      </c>
      <c r="G585" t="s">
        <v>748</v>
      </c>
      <c r="J585">
        <v>11</v>
      </c>
    </row>
    <row r="586" spans="1:10" x14ac:dyDescent="0.25">
      <c r="A586">
        <v>493</v>
      </c>
      <c r="B586">
        <v>493</v>
      </c>
      <c r="C586" t="s">
        <v>2434</v>
      </c>
      <c r="D586" t="s">
        <v>2916</v>
      </c>
      <c r="E586" s="1">
        <v>9697</v>
      </c>
      <c r="G586" t="s">
        <v>2435</v>
      </c>
      <c r="J586">
        <v>4</v>
      </c>
    </row>
    <row r="587" spans="1:10" x14ac:dyDescent="0.25">
      <c r="A587">
        <v>572</v>
      </c>
      <c r="B587">
        <v>572</v>
      </c>
      <c r="C587" t="s">
        <v>2812</v>
      </c>
      <c r="D587" t="s">
        <v>2916</v>
      </c>
      <c r="E587" s="1">
        <v>6023</v>
      </c>
      <c r="G587" t="s">
        <v>2813</v>
      </c>
      <c r="J587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DBF3-3FEB-4DF8-9E44-9ABFD5D544C7}">
  <dimension ref="A1:B587"/>
  <sheetViews>
    <sheetView workbookViewId="0">
      <selection activeCell="C19" sqref="C19"/>
    </sheetView>
  </sheetViews>
  <sheetFormatPr defaultRowHeight="15" x14ac:dyDescent="0.25"/>
  <cols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469</v>
      </c>
    </row>
    <row r="3" spans="1:2" x14ac:dyDescent="0.25">
      <c r="A3" t="s">
        <v>20</v>
      </c>
      <c r="B3" s="1">
        <v>648155</v>
      </c>
    </row>
    <row r="4" spans="1:2" x14ac:dyDescent="0.25">
      <c r="A4" t="s">
        <v>25</v>
      </c>
      <c r="B4">
        <v>416</v>
      </c>
    </row>
    <row r="5" spans="1:2" x14ac:dyDescent="0.25">
      <c r="A5" t="s">
        <v>31</v>
      </c>
      <c r="B5" s="1">
        <v>6245</v>
      </c>
    </row>
    <row r="6" spans="1:2" x14ac:dyDescent="0.25">
      <c r="A6" t="s">
        <v>38</v>
      </c>
      <c r="B6" s="1">
        <v>2696</v>
      </c>
    </row>
    <row r="7" spans="1:2" x14ac:dyDescent="0.25">
      <c r="A7" t="s">
        <v>45</v>
      </c>
      <c r="B7" s="1">
        <v>45640</v>
      </c>
    </row>
    <row r="8" spans="1:2" x14ac:dyDescent="0.25">
      <c r="A8" t="s">
        <v>51</v>
      </c>
      <c r="B8" s="1">
        <v>135324</v>
      </c>
    </row>
    <row r="9" spans="1:2" x14ac:dyDescent="0.25">
      <c r="A9" t="s">
        <v>56</v>
      </c>
      <c r="B9" s="1">
        <v>2472</v>
      </c>
    </row>
    <row r="10" spans="1:2" x14ac:dyDescent="0.25">
      <c r="A10" t="s">
        <v>61</v>
      </c>
      <c r="B10" s="1">
        <v>2383</v>
      </c>
    </row>
    <row r="11" spans="1:2" x14ac:dyDescent="0.25">
      <c r="A11" t="s">
        <v>66</v>
      </c>
      <c r="B11" s="1">
        <v>50834</v>
      </c>
    </row>
    <row r="12" spans="1:2" x14ac:dyDescent="0.25">
      <c r="A12" t="s">
        <v>71</v>
      </c>
      <c r="B12" s="1">
        <v>9573</v>
      </c>
    </row>
    <row r="13" spans="1:2" x14ac:dyDescent="0.25">
      <c r="A13" t="s">
        <v>76</v>
      </c>
      <c r="B13">
        <v>924</v>
      </c>
    </row>
    <row r="14" spans="1:2" x14ac:dyDescent="0.25">
      <c r="A14" t="s">
        <v>81</v>
      </c>
      <c r="B14" s="1">
        <v>3338</v>
      </c>
    </row>
    <row r="15" spans="1:2" x14ac:dyDescent="0.25">
      <c r="A15" t="s">
        <v>86</v>
      </c>
      <c r="B15">
        <v>641</v>
      </c>
    </row>
    <row r="16" spans="1:2" x14ac:dyDescent="0.25">
      <c r="A16" t="s">
        <v>92</v>
      </c>
      <c r="B16" s="1">
        <v>4422</v>
      </c>
    </row>
    <row r="17" spans="1:2" x14ac:dyDescent="0.25">
      <c r="A17" t="s">
        <v>97</v>
      </c>
      <c r="B17" s="1">
        <v>2376</v>
      </c>
    </row>
    <row r="18" spans="1:2" x14ac:dyDescent="0.25">
      <c r="A18" t="s">
        <v>103</v>
      </c>
      <c r="B18" s="1">
        <v>2165</v>
      </c>
    </row>
    <row r="19" spans="1:2" x14ac:dyDescent="0.25">
      <c r="A19" t="s">
        <v>108</v>
      </c>
      <c r="B19" s="1">
        <v>3941</v>
      </c>
    </row>
    <row r="20" spans="1:2" x14ac:dyDescent="0.25">
      <c r="A20" t="s">
        <v>113</v>
      </c>
      <c r="B20" s="1">
        <v>1329</v>
      </c>
    </row>
    <row r="21" spans="1:2" x14ac:dyDescent="0.25">
      <c r="A21" t="s">
        <v>118</v>
      </c>
      <c r="B21" s="1">
        <v>6780</v>
      </c>
    </row>
    <row r="22" spans="1:2" x14ac:dyDescent="0.25">
      <c r="A22" t="s">
        <v>123</v>
      </c>
      <c r="B22" s="1">
        <v>5723</v>
      </c>
    </row>
    <row r="23" spans="1:2" x14ac:dyDescent="0.25">
      <c r="A23" t="s">
        <v>128</v>
      </c>
      <c r="B23" s="1">
        <v>32214</v>
      </c>
    </row>
    <row r="24" spans="1:2" x14ac:dyDescent="0.25">
      <c r="A24" t="s">
        <v>133</v>
      </c>
      <c r="B24">
        <v>944</v>
      </c>
    </row>
    <row r="25" spans="1:2" x14ac:dyDescent="0.25">
      <c r="A25" t="s">
        <v>139</v>
      </c>
      <c r="B25" s="1">
        <v>1323</v>
      </c>
    </row>
    <row r="26" spans="1:2" x14ac:dyDescent="0.25">
      <c r="A26" t="s">
        <v>144</v>
      </c>
      <c r="B26" s="1">
        <v>130090</v>
      </c>
    </row>
    <row r="27" spans="1:2" x14ac:dyDescent="0.25">
      <c r="A27" t="s">
        <v>149</v>
      </c>
      <c r="B27" s="1">
        <v>2130</v>
      </c>
    </row>
    <row r="28" spans="1:2" x14ac:dyDescent="0.25">
      <c r="A28" t="s">
        <v>154</v>
      </c>
      <c r="B28" s="1">
        <v>2658</v>
      </c>
    </row>
    <row r="29" spans="1:2" x14ac:dyDescent="0.25">
      <c r="A29" t="s">
        <v>159</v>
      </c>
      <c r="B29" s="1">
        <v>10736</v>
      </c>
    </row>
    <row r="30" spans="1:2" x14ac:dyDescent="0.25">
      <c r="A30" t="s">
        <v>164</v>
      </c>
      <c r="B30" s="1">
        <v>1876</v>
      </c>
    </row>
    <row r="31" spans="1:2" x14ac:dyDescent="0.25">
      <c r="A31" t="s">
        <v>169</v>
      </c>
      <c r="B31">
        <v>892</v>
      </c>
    </row>
    <row r="32" spans="1:2" x14ac:dyDescent="0.25">
      <c r="A32" t="s">
        <v>175</v>
      </c>
      <c r="B32" s="1">
        <v>13939</v>
      </c>
    </row>
    <row r="33" spans="1:2" x14ac:dyDescent="0.25">
      <c r="A33" t="s">
        <v>180</v>
      </c>
      <c r="B33" s="1">
        <v>17615</v>
      </c>
    </row>
    <row r="34" spans="1:2" x14ac:dyDescent="0.25">
      <c r="A34" t="s">
        <v>185</v>
      </c>
      <c r="B34" s="1">
        <v>1552</v>
      </c>
    </row>
    <row r="35" spans="1:2" x14ac:dyDescent="0.25">
      <c r="A35" t="s">
        <v>190</v>
      </c>
      <c r="B35" s="1">
        <v>4696</v>
      </c>
    </row>
    <row r="36" spans="1:2" x14ac:dyDescent="0.25">
      <c r="A36" t="s">
        <v>195</v>
      </c>
      <c r="B36" s="1">
        <v>13379</v>
      </c>
    </row>
    <row r="37" spans="1:2" x14ac:dyDescent="0.25">
      <c r="A37" t="s">
        <v>200</v>
      </c>
      <c r="B37" s="1">
        <v>2402</v>
      </c>
    </row>
    <row r="38" spans="1:2" x14ac:dyDescent="0.25">
      <c r="A38" t="s">
        <v>205</v>
      </c>
      <c r="B38" s="1">
        <v>4532</v>
      </c>
    </row>
    <row r="39" spans="1:2" x14ac:dyDescent="0.25">
      <c r="A39" t="s">
        <v>210</v>
      </c>
      <c r="B39" s="1">
        <v>12418</v>
      </c>
    </row>
    <row r="40" spans="1:2" x14ac:dyDescent="0.25">
      <c r="A40" t="s">
        <v>215</v>
      </c>
      <c r="B40">
        <v>797</v>
      </c>
    </row>
    <row r="41" spans="1:2" x14ac:dyDescent="0.25">
      <c r="A41" t="s">
        <v>220</v>
      </c>
      <c r="B41">
        <v>667</v>
      </c>
    </row>
    <row r="42" spans="1:2" x14ac:dyDescent="0.25">
      <c r="A42" t="s">
        <v>226</v>
      </c>
      <c r="B42">
        <v>294</v>
      </c>
    </row>
    <row r="43" spans="1:2" x14ac:dyDescent="0.25">
      <c r="A43" t="s">
        <v>231</v>
      </c>
      <c r="B43">
        <v>530</v>
      </c>
    </row>
    <row r="44" spans="1:2" x14ac:dyDescent="0.25">
      <c r="A44" t="s">
        <v>237</v>
      </c>
      <c r="B44" s="1">
        <v>5673</v>
      </c>
    </row>
    <row r="45" spans="1:2" x14ac:dyDescent="0.25">
      <c r="A45" t="s">
        <v>242</v>
      </c>
      <c r="B45" s="1">
        <v>1018</v>
      </c>
    </row>
    <row r="46" spans="1:2" x14ac:dyDescent="0.25">
      <c r="A46" t="s">
        <v>247</v>
      </c>
      <c r="B46" s="1">
        <v>18106</v>
      </c>
    </row>
    <row r="47" spans="1:2" x14ac:dyDescent="0.25">
      <c r="A47" t="s">
        <v>252</v>
      </c>
      <c r="B47" s="1">
        <v>1460</v>
      </c>
    </row>
    <row r="48" spans="1:2" x14ac:dyDescent="0.25">
      <c r="A48" t="s">
        <v>257</v>
      </c>
      <c r="B48" s="1">
        <v>1687</v>
      </c>
    </row>
    <row r="49" spans="1:2" x14ac:dyDescent="0.25">
      <c r="A49" t="s">
        <v>262</v>
      </c>
      <c r="B49" s="1">
        <v>8476</v>
      </c>
    </row>
    <row r="50" spans="1:2" x14ac:dyDescent="0.25">
      <c r="A50" t="s">
        <v>267</v>
      </c>
      <c r="B50" s="1">
        <v>11682</v>
      </c>
    </row>
    <row r="51" spans="1:2" x14ac:dyDescent="0.25">
      <c r="A51" t="s">
        <v>272</v>
      </c>
      <c r="B51" s="1">
        <v>6445</v>
      </c>
    </row>
    <row r="52" spans="1:2" x14ac:dyDescent="0.25">
      <c r="A52" t="s">
        <v>277</v>
      </c>
      <c r="B52" s="1">
        <v>65739</v>
      </c>
    </row>
    <row r="53" spans="1:2" x14ac:dyDescent="0.25">
      <c r="A53" t="s">
        <v>283</v>
      </c>
      <c r="B53" s="1">
        <v>2763</v>
      </c>
    </row>
    <row r="54" spans="1:2" x14ac:dyDescent="0.25">
      <c r="A54" t="s">
        <v>288</v>
      </c>
      <c r="B54" s="1">
        <v>1176</v>
      </c>
    </row>
    <row r="55" spans="1:2" x14ac:dyDescent="0.25">
      <c r="A55" t="s">
        <v>293</v>
      </c>
      <c r="B55" s="1">
        <v>6247</v>
      </c>
    </row>
    <row r="56" spans="1:2" x14ac:dyDescent="0.25">
      <c r="A56" t="s">
        <v>297</v>
      </c>
      <c r="B56" s="1">
        <v>6246</v>
      </c>
    </row>
    <row r="57" spans="1:2" x14ac:dyDescent="0.25">
      <c r="A57" t="s">
        <v>302</v>
      </c>
      <c r="B57" s="1">
        <v>6988</v>
      </c>
    </row>
    <row r="58" spans="1:2" x14ac:dyDescent="0.25">
      <c r="A58" t="s">
        <v>307</v>
      </c>
      <c r="B58" s="1">
        <v>10943</v>
      </c>
    </row>
    <row r="59" spans="1:2" x14ac:dyDescent="0.25">
      <c r="A59" t="s">
        <v>312</v>
      </c>
      <c r="B59" s="1">
        <v>52788</v>
      </c>
    </row>
    <row r="60" spans="1:2" x14ac:dyDescent="0.25">
      <c r="A60" t="s">
        <v>317</v>
      </c>
      <c r="B60" s="1">
        <v>1433</v>
      </c>
    </row>
    <row r="61" spans="1:2" x14ac:dyDescent="0.25">
      <c r="A61" t="s">
        <v>322</v>
      </c>
      <c r="B61" s="1">
        <v>3237</v>
      </c>
    </row>
    <row r="62" spans="1:2" x14ac:dyDescent="0.25">
      <c r="A62" t="s">
        <v>327</v>
      </c>
      <c r="B62" s="1">
        <v>2659</v>
      </c>
    </row>
    <row r="63" spans="1:2" x14ac:dyDescent="0.25">
      <c r="A63" t="s">
        <v>332</v>
      </c>
      <c r="B63" s="1">
        <v>4468</v>
      </c>
    </row>
    <row r="64" spans="1:2" x14ac:dyDescent="0.25">
      <c r="A64" t="s">
        <v>337</v>
      </c>
      <c r="B64" s="1">
        <v>17600</v>
      </c>
    </row>
    <row r="65" spans="1:2" x14ac:dyDescent="0.25">
      <c r="A65" t="s">
        <v>341</v>
      </c>
      <c r="B65" s="1">
        <v>10653</v>
      </c>
    </row>
    <row r="66" spans="1:2" x14ac:dyDescent="0.25">
      <c r="A66" t="s">
        <v>346</v>
      </c>
      <c r="B66" s="1">
        <v>107712</v>
      </c>
    </row>
    <row r="67" spans="1:2" x14ac:dyDescent="0.25">
      <c r="A67" t="s">
        <v>351</v>
      </c>
      <c r="B67" s="1">
        <v>12699</v>
      </c>
    </row>
    <row r="68" spans="1:2" x14ac:dyDescent="0.25">
      <c r="A68" t="s">
        <v>356</v>
      </c>
      <c r="B68" s="1">
        <v>13389</v>
      </c>
    </row>
    <row r="69" spans="1:2" x14ac:dyDescent="0.25">
      <c r="A69" t="s">
        <v>361</v>
      </c>
      <c r="B69" s="1">
        <v>4016</v>
      </c>
    </row>
    <row r="70" spans="1:2" x14ac:dyDescent="0.25">
      <c r="A70" t="s">
        <v>367</v>
      </c>
      <c r="B70" s="1">
        <v>14072</v>
      </c>
    </row>
    <row r="71" spans="1:2" x14ac:dyDescent="0.25">
      <c r="A71" t="s">
        <v>372</v>
      </c>
      <c r="B71">
        <v>799</v>
      </c>
    </row>
    <row r="72" spans="1:2" x14ac:dyDescent="0.25">
      <c r="A72" t="s">
        <v>377</v>
      </c>
      <c r="B72" s="1">
        <v>19349</v>
      </c>
    </row>
    <row r="73" spans="1:2" x14ac:dyDescent="0.25">
      <c r="A73" t="s">
        <v>382</v>
      </c>
      <c r="B73">
        <v>905</v>
      </c>
    </row>
    <row r="74" spans="1:2" x14ac:dyDescent="0.25">
      <c r="A74" t="s">
        <v>387</v>
      </c>
      <c r="B74" s="1">
        <v>268465</v>
      </c>
    </row>
    <row r="75" spans="1:2" x14ac:dyDescent="0.25">
      <c r="A75" t="s">
        <v>392</v>
      </c>
      <c r="B75" s="1">
        <v>12545</v>
      </c>
    </row>
    <row r="76" spans="1:2" x14ac:dyDescent="0.25">
      <c r="A76" t="s">
        <v>397</v>
      </c>
      <c r="B76" s="1">
        <v>32744</v>
      </c>
    </row>
    <row r="77" spans="1:2" x14ac:dyDescent="0.25">
      <c r="A77" t="s">
        <v>402</v>
      </c>
      <c r="B77">
        <v>865</v>
      </c>
    </row>
    <row r="78" spans="1:2" x14ac:dyDescent="0.25">
      <c r="A78" t="s">
        <v>407</v>
      </c>
      <c r="B78">
        <v>789</v>
      </c>
    </row>
    <row r="79" spans="1:2" x14ac:dyDescent="0.25">
      <c r="A79" t="s">
        <v>412</v>
      </c>
      <c r="B79" s="1">
        <v>7276</v>
      </c>
    </row>
    <row r="80" spans="1:2" x14ac:dyDescent="0.25">
      <c r="A80" t="s">
        <v>417</v>
      </c>
      <c r="B80" s="1">
        <v>1536</v>
      </c>
    </row>
    <row r="81" spans="1:2" x14ac:dyDescent="0.25">
      <c r="A81" t="s">
        <v>422</v>
      </c>
      <c r="B81" s="1">
        <v>81355</v>
      </c>
    </row>
    <row r="82" spans="1:2" x14ac:dyDescent="0.25">
      <c r="A82" t="s">
        <v>427</v>
      </c>
      <c r="B82" s="1">
        <v>2074</v>
      </c>
    </row>
    <row r="83" spans="1:2" x14ac:dyDescent="0.25">
      <c r="A83" t="s">
        <v>432</v>
      </c>
      <c r="B83" s="1">
        <v>23885</v>
      </c>
    </row>
    <row r="84" spans="1:2" x14ac:dyDescent="0.25">
      <c r="A84" t="s">
        <v>437</v>
      </c>
      <c r="B84" s="1">
        <v>6302</v>
      </c>
    </row>
    <row r="85" spans="1:2" x14ac:dyDescent="0.25">
      <c r="A85" t="s">
        <v>442</v>
      </c>
      <c r="B85" s="1">
        <v>3537</v>
      </c>
    </row>
    <row r="86" spans="1:2" x14ac:dyDescent="0.25">
      <c r="A86" t="s">
        <v>447</v>
      </c>
      <c r="B86" s="1">
        <v>79517</v>
      </c>
    </row>
    <row r="87" spans="1:2" x14ac:dyDescent="0.25">
      <c r="A87" t="s">
        <v>452</v>
      </c>
      <c r="B87" s="1">
        <v>2741</v>
      </c>
    </row>
    <row r="88" spans="1:2" x14ac:dyDescent="0.25">
      <c r="A88" t="s">
        <v>457</v>
      </c>
      <c r="B88" s="1">
        <v>5564</v>
      </c>
    </row>
    <row r="89" spans="1:2" x14ac:dyDescent="0.25">
      <c r="A89" t="s">
        <v>462</v>
      </c>
      <c r="B89" s="1">
        <v>4332</v>
      </c>
    </row>
    <row r="90" spans="1:2" x14ac:dyDescent="0.25">
      <c r="A90" t="s">
        <v>467</v>
      </c>
      <c r="B90" s="1">
        <v>2505</v>
      </c>
    </row>
    <row r="91" spans="1:2" x14ac:dyDescent="0.25">
      <c r="A91" t="s">
        <v>471</v>
      </c>
      <c r="B91" s="1">
        <v>7397</v>
      </c>
    </row>
    <row r="92" spans="1:2" x14ac:dyDescent="0.25">
      <c r="A92" t="s">
        <v>476</v>
      </c>
      <c r="B92" s="1">
        <v>9744</v>
      </c>
    </row>
    <row r="93" spans="1:2" x14ac:dyDescent="0.25">
      <c r="A93" t="s">
        <v>481</v>
      </c>
      <c r="B93">
        <v>270</v>
      </c>
    </row>
    <row r="94" spans="1:2" x14ac:dyDescent="0.25">
      <c r="A94" t="s">
        <v>485</v>
      </c>
      <c r="B94" s="1">
        <v>137005</v>
      </c>
    </row>
    <row r="95" spans="1:2" x14ac:dyDescent="0.25">
      <c r="A95" t="s">
        <v>490</v>
      </c>
      <c r="B95" s="1">
        <v>2552</v>
      </c>
    </row>
    <row r="96" spans="1:2" x14ac:dyDescent="0.25">
      <c r="A96" t="s">
        <v>495</v>
      </c>
      <c r="B96" s="1">
        <v>4546</v>
      </c>
    </row>
    <row r="97" spans="1:2" x14ac:dyDescent="0.25">
      <c r="A97" t="s">
        <v>499</v>
      </c>
      <c r="B97" s="1">
        <v>2470</v>
      </c>
    </row>
    <row r="98" spans="1:2" x14ac:dyDescent="0.25">
      <c r="A98" t="s">
        <v>505</v>
      </c>
      <c r="B98">
        <v>431</v>
      </c>
    </row>
    <row r="99" spans="1:2" x14ac:dyDescent="0.25">
      <c r="A99" t="s">
        <v>510</v>
      </c>
      <c r="B99" s="1">
        <v>6237</v>
      </c>
    </row>
    <row r="100" spans="1:2" x14ac:dyDescent="0.25">
      <c r="A100" t="s">
        <v>515</v>
      </c>
      <c r="B100" s="1">
        <v>45094</v>
      </c>
    </row>
    <row r="101" spans="1:2" x14ac:dyDescent="0.25">
      <c r="A101" t="s">
        <v>520</v>
      </c>
      <c r="B101" s="1">
        <v>7857</v>
      </c>
    </row>
    <row r="102" spans="1:2" x14ac:dyDescent="0.25">
      <c r="A102" t="s">
        <v>525</v>
      </c>
      <c r="B102" s="1">
        <v>5737</v>
      </c>
    </row>
    <row r="103" spans="1:2" x14ac:dyDescent="0.25">
      <c r="A103" t="s">
        <v>530</v>
      </c>
      <c r="B103" s="1">
        <v>3002</v>
      </c>
    </row>
    <row r="104" spans="1:2" x14ac:dyDescent="0.25">
      <c r="A104" t="s">
        <v>534</v>
      </c>
      <c r="B104" s="1">
        <v>20832</v>
      </c>
    </row>
    <row r="105" spans="1:2" x14ac:dyDescent="0.25">
      <c r="A105" t="s">
        <v>539</v>
      </c>
      <c r="B105" s="1">
        <v>1375</v>
      </c>
    </row>
    <row r="106" spans="1:2" x14ac:dyDescent="0.25">
      <c r="A106" t="s">
        <v>544</v>
      </c>
      <c r="B106" s="1">
        <v>9102</v>
      </c>
    </row>
    <row r="107" spans="1:2" x14ac:dyDescent="0.25">
      <c r="A107" t="s">
        <v>549</v>
      </c>
      <c r="B107" s="1">
        <v>67679</v>
      </c>
    </row>
    <row r="108" spans="1:2" x14ac:dyDescent="0.25">
      <c r="A108" t="s">
        <v>554</v>
      </c>
      <c r="B108" s="1">
        <v>3655</v>
      </c>
    </row>
    <row r="109" spans="1:2" x14ac:dyDescent="0.25">
      <c r="A109" t="s">
        <v>559</v>
      </c>
      <c r="B109" s="1">
        <v>3926</v>
      </c>
    </row>
    <row r="110" spans="1:2" x14ac:dyDescent="0.25">
      <c r="A110" t="s">
        <v>564</v>
      </c>
      <c r="B110">
        <v>506</v>
      </c>
    </row>
    <row r="111" spans="1:2" x14ac:dyDescent="0.25">
      <c r="A111" t="s">
        <v>568</v>
      </c>
      <c r="B111" s="1">
        <v>10860</v>
      </c>
    </row>
    <row r="112" spans="1:2" x14ac:dyDescent="0.25">
      <c r="A112" t="s">
        <v>573</v>
      </c>
      <c r="B112" s="1">
        <v>6263</v>
      </c>
    </row>
    <row r="113" spans="1:2" x14ac:dyDescent="0.25">
      <c r="A113" t="s">
        <v>578</v>
      </c>
      <c r="B113" s="1">
        <v>3921</v>
      </c>
    </row>
    <row r="114" spans="1:2" x14ac:dyDescent="0.25">
      <c r="A114" t="s">
        <v>583</v>
      </c>
      <c r="B114" s="1">
        <v>1686</v>
      </c>
    </row>
    <row r="115" spans="1:2" x14ac:dyDescent="0.25">
      <c r="A115" t="s">
        <v>588</v>
      </c>
      <c r="B115" s="1">
        <v>14705</v>
      </c>
    </row>
    <row r="116" spans="1:2" x14ac:dyDescent="0.25">
      <c r="A116" t="s">
        <v>593</v>
      </c>
      <c r="B116">
        <v>944</v>
      </c>
    </row>
    <row r="117" spans="1:2" x14ac:dyDescent="0.25">
      <c r="A117" t="s">
        <v>598</v>
      </c>
      <c r="B117" s="1">
        <v>8410</v>
      </c>
    </row>
    <row r="118" spans="1:2" x14ac:dyDescent="0.25">
      <c r="A118" t="s">
        <v>603</v>
      </c>
      <c r="B118" s="1">
        <v>1921</v>
      </c>
    </row>
    <row r="119" spans="1:2" x14ac:dyDescent="0.25">
      <c r="A119" t="s">
        <v>608</v>
      </c>
      <c r="B119">
        <v>472</v>
      </c>
    </row>
    <row r="120" spans="1:2" x14ac:dyDescent="0.25">
      <c r="A120" t="s">
        <v>613</v>
      </c>
      <c r="B120" s="1">
        <v>3937</v>
      </c>
    </row>
    <row r="121" spans="1:2" x14ac:dyDescent="0.25">
      <c r="A121" t="s">
        <v>618</v>
      </c>
      <c r="B121" s="1">
        <v>3099</v>
      </c>
    </row>
    <row r="122" spans="1:2" x14ac:dyDescent="0.25">
      <c r="A122" t="s">
        <v>623</v>
      </c>
      <c r="B122">
        <v>258</v>
      </c>
    </row>
    <row r="123" spans="1:2" x14ac:dyDescent="0.25">
      <c r="A123" t="s">
        <v>628</v>
      </c>
      <c r="B123" s="1">
        <v>3642</v>
      </c>
    </row>
    <row r="124" spans="1:2" x14ac:dyDescent="0.25">
      <c r="A124" t="s">
        <v>633</v>
      </c>
      <c r="B124" s="1">
        <v>43889</v>
      </c>
    </row>
    <row r="125" spans="1:2" x14ac:dyDescent="0.25">
      <c r="A125" t="s">
        <v>638</v>
      </c>
      <c r="B125">
        <v>891</v>
      </c>
    </row>
    <row r="126" spans="1:2" x14ac:dyDescent="0.25">
      <c r="A126" t="s">
        <v>643</v>
      </c>
      <c r="B126" s="1">
        <v>45254</v>
      </c>
    </row>
    <row r="127" spans="1:2" x14ac:dyDescent="0.25">
      <c r="A127" t="s">
        <v>648</v>
      </c>
      <c r="B127" s="1">
        <v>1422</v>
      </c>
    </row>
    <row r="128" spans="1:2" x14ac:dyDescent="0.25">
      <c r="A128" t="s">
        <v>653</v>
      </c>
      <c r="B128" s="1">
        <v>1167</v>
      </c>
    </row>
    <row r="129" spans="1:2" x14ac:dyDescent="0.25">
      <c r="A129" t="s">
        <v>658</v>
      </c>
      <c r="B129" s="1">
        <v>5212</v>
      </c>
    </row>
    <row r="130" spans="1:2" x14ac:dyDescent="0.25">
      <c r="A130" t="s">
        <v>663</v>
      </c>
      <c r="B130" s="1">
        <v>6608</v>
      </c>
    </row>
    <row r="131" spans="1:2" x14ac:dyDescent="0.25">
      <c r="A131" t="s">
        <v>668</v>
      </c>
      <c r="B131" s="1">
        <v>14686</v>
      </c>
    </row>
    <row r="132" spans="1:2" x14ac:dyDescent="0.25">
      <c r="A132" t="s">
        <v>673</v>
      </c>
      <c r="B132" s="1">
        <v>26502</v>
      </c>
    </row>
    <row r="133" spans="1:2" x14ac:dyDescent="0.25">
      <c r="A133" t="s">
        <v>678</v>
      </c>
      <c r="B133" s="1">
        <v>28687</v>
      </c>
    </row>
    <row r="134" spans="1:2" x14ac:dyDescent="0.25">
      <c r="A134" t="s">
        <v>683</v>
      </c>
      <c r="B134" s="1">
        <v>13299</v>
      </c>
    </row>
    <row r="135" spans="1:2" x14ac:dyDescent="0.25">
      <c r="A135" t="s">
        <v>688</v>
      </c>
      <c r="B135">
        <v>798</v>
      </c>
    </row>
    <row r="136" spans="1:2" x14ac:dyDescent="0.25">
      <c r="A136" t="s">
        <v>693</v>
      </c>
      <c r="B136" s="1">
        <v>41492</v>
      </c>
    </row>
    <row r="137" spans="1:2" x14ac:dyDescent="0.25">
      <c r="A137" t="s">
        <v>698</v>
      </c>
      <c r="B137" s="1">
        <v>29925</v>
      </c>
    </row>
    <row r="138" spans="1:2" x14ac:dyDescent="0.25">
      <c r="A138" t="s">
        <v>703</v>
      </c>
      <c r="B138" s="1">
        <v>2761</v>
      </c>
    </row>
    <row r="139" spans="1:2" x14ac:dyDescent="0.25">
      <c r="A139" t="s">
        <v>708</v>
      </c>
      <c r="B139" s="1">
        <v>2308</v>
      </c>
    </row>
    <row r="140" spans="1:2" x14ac:dyDescent="0.25">
      <c r="A140" t="s">
        <v>712</v>
      </c>
      <c r="B140" s="1">
        <v>1129</v>
      </c>
    </row>
    <row r="141" spans="1:2" x14ac:dyDescent="0.25">
      <c r="A141" t="s">
        <v>717</v>
      </c>
      <c r="B141" s="1">
        <v>1516</v>
      </c>
    </row>
    <row r="142" spans="1:2" x14ac:dyDescent="0.25">
      <c r="A142" t="s">
        <v>722</v>
      </c>
      <c r="B142" s="1">
        <v>3285</v>
      </c>
    </row>
    <row r="143" spans="1:2" x14ac:dyDescent="0.25">
      <c r="A143" t="s">
        <v>727</v>
      </c>
      <c r="B143" s="1">
        <v>35251</v>
      </c>
    </row>
    <row r="144" spans="1:2" x14ac:dyDescent="0.25">
      <c r="A144" t="s">
        <v>732</v>
      </c>
      <c r="B144">
        <v>359</v>
      </c>
    </row>
    <row r="145" spans="1:2" x14ac:dyDescent="0.25">
      <c r="A145" t="s">
        <v>737</v>
      </c>
      <c r="B145" s="1">
        <v>1974</v>
      </c>
    </row>
    <row r="146" spans="1:2" x14ac:dyDescent="0.25">
      <c r="A146" t="s">
        <v>742</v>
      </c>
      <c r="B146" s="1">
        <v>19393</v>
      </c>
    </row>
    <row r="147" spans="1:2" x14ac:dyDescent="0.25">
      <c r="A147" t="s">
        <v>747</v>
      </c>
      <c r="B147">
        <v>681</v>
      </c>
    </row>
    <row r="148" spans="1:2" x14ac:dyDescent="0.25">
      <c r="A148" t="s">
        <v>750</v>
      </c>
      <c r="B148" s="1">
        <v>5507</v>
      </c>
    </row>
    <row r="149" spans="1:2" x14ac:dyDescent="0.25">
      <c r="A149" t="s">
        <v>755</v>
      </c>
      <c r="B149" s="1">
        <v>4834</v>
      </c>
    </row>
    <row r="150" spans="1:2" x14ac:dyDescent="0.25">
      <c r="A150" t="s">
        <v>760</v>
      </c>
      <c r="B150" s="1">
        <v>11415</v>
      </c>
    </row>
    <row r="151" spans="1:2" x14ac:dyDescent="0.25">
      <c r="A151" t="s">
        <v>765</v>
      </c>
      <c r="B151" s="1">
        <v>12057</v>
      </c>
    </row>
    <row r="152" spans="1:2" x14ac:dyDescent="0.25">
      <c r="A152" t="s">
        <v>770</v>
      </c>
      <c r="B152" s="1">
        <v>22738</v>
      </c>
    </row>
    <row r="153" spans="1:2" x14ac:dyDescent="0.25">
      <c r="A153" t="s">
        <v>775</v>
      </c>
      <c r="B153" s="1">
        <v>4100</v>
      </c>
    </row>
    <row r="154" spans="1:2" x14ac:dyDescent="0.25">
      <c r="A154" t="s">
        <v>780</v>
      </c>
      <c r="B154" s="1">
        <v>1309</v>
      </c>
    </row>
    <row r="155" spans="1:2" x14ac:dyDescent="0.25">
      <c r="A155" t="s">
        <v>785</v>
      </c>
      <c r="B155" s="1">
        <v>3268</v>
      </c>
    </row>
    <row r="156" spans="1:2" x14ac:dyDescent="0.25">
      <c r="A156" t="s">
        <v>790</v>
      </c>
      <c r="B156" s="1">
        <v>7028</v>
      </c>
    </row>
    <row r="157" spans="1:2" x14ac:dyDescent="0.25">
      <c r="A157" t="s">
        <v>795</v>
      </c>
      <c r="B157" s="1">
        <v>17452</v>
      </c>
    </row>
    <row r="158" spans="1:2" x14ac:dyDescent="0.25">
      <c r="A158" t="s">
        <v>800</v>
      </c>
      <c r="B158" s="1">
        <v>2985</v>
      </c>
    </row>
    <row r="159" spans="1:2" x14ac:dyDescent="0.25">
      <c r="A159" t="s">
        <v>805</v>
      </c>
      <c r="B159" s="1">
        <v>4850</v>
      </c>
    </row>
    <row r="160" spans="1:2" x14ac:dyDescent="0.25">
      <c r="A160" t="s">
        <v>809</v>
      </c>
      <c r="B160" s="1">
        <v>1257</v>
      </c>
    </row>
    <row r="161" spans="1:2" x14ac:dyDescent="0.25">
      <c r="A161" t="s">
        <v>814</v>
      </c>
      <c r="B161" s="1">
        <v>2665</v>
      </c>
    </row>
    <row r="162" spans="1:2" x14ac:dyDescent="0.25">
      <c r="A162" t="s">
        <v>819</v>
      </c>
      <c r="B162" s="1">
        <v>15403</v>
      </c>
    </row>
    <row r="163" spans="1:2" x14ac:dyDescent="0.25">
      <c r="A163" t="s">
        <v>824</v>
      </c>
      <c r="B163" s="1">
        <v>1065</v>
      </c>
    </row>
    <row r="164" spans="1:2" x14ac:dyDescent="0.25">
      <c r="A164" t="s">
        <v>829</v>
      </c>
      <c r="B164" s="1">
        <v>14098</v>
      </c>
    </row>
    <row r="165" spans="1:2" x14ac:dyDescent="0.25">
      <c r="A165" t="s">
        <v>834</v>
      </c>
      <c r="B165">
        <v>357</v>
      </c>
    </row>
    <row r="166" spans="1:2" x14ac:dyDescent="0.25">
      <c r="A166" t="s">
        <v>839</v>
      </c>
      <c r="B166">
        <v>948</v>
      </c>
    </row>
    <row r="167" spans="1:2" x14ac:dyDescent="0.25">
      <c r="A167" t="s">
        <v>843</v>
      </c>
      <c r="B167" s="1">
        <v>3983</v>
      </c>
    </row>
    <row r="168" spans="1:2" x14ac:dyDescent="0.25">
      <c r="A168" t="s">
        <v>848</v>
      </c>
      <c r="B168" s="1">
        <v>3101</v>
      </c>
    </row>
    <row r="169" spans="1:2" x14ac:dyDescent="0.25">
      <c r="A169" t="s">
        <v>853</v>
      </c>
      <c r="B169">
        <v>753</v>
      </c>
    </row>
    <row r="170" spans="1:2" x14ac:dyDescent="0.25">
      <c r="A170" t="s">
        <v>858</v>
      </c>
      <c r="B170">
        <v>667</v>
      </c>
    </row>
    <row r="171" spans="1:2" x14ac:dyDescent="0.25">
      <c r="A171" t="s">
        <v>863</v>
      </c>
      <c r="B171" s="1">
        <v>2502</v>
      </c>
    </row>
    <row r="172" spans="1:2" x14ac:dyDescent="0.25">
      <c r="A172" t="s">
        <v>868</v>
      </c>
      <c r="B172" s="1">
        <v>4923</v>
      </c>
    </row>
    <row r="173" spans="1:2" x14ac:dyDescent="0.25">
      <c r="A173" t="s">
        <v>873</v>
      </c>
      <c r="B173" s="1">
        <v>23467</v>
      </c>
    </row>
    <row r="174" spans="1:2" x14ac:dyDescent="0.25">
      <c r="A174" t="s">
        <v>878</v>
      </c>
      <c r="B174" s="1">
        <v>5133</v>
      </c>
    </row>
    <row r="175" spans="1:2" x14ac:dyDescent="0.25">
      <c r="A175" t="s">
        <v>883</v>
      </c>
      <c r="B175" s="1">
        <v>11153</v>
      </c>
    </row>
    <row r="176" spans="1:2" x14ac:dyDescent="0.25">
      <c r="A176" t="s">
        <v>888</v>
      </c>
      <c r="B176" s="1">
        <v>3144</v>
      </c>
    </row>
    <row r="177" spans="1:2" x14ac:dyDescent="0.25">
      <c r="A177" t="s">
        <v>893</v>
      </c>
      <c r="B177" s="1">
        <v>1009</v>
      </c>
    </row>
    <row r="178" spans="1:2" x14ac:dyDescent="0.25">
      <c r="A178" t="s">
        <v>898</v>
      </c>
      <c r="B178" s="1">
        <v>3235</v>
      </c>
    </row>
    <row r="179" spans="1:2" x14ac:dyDescent="0.25">
      <c r="A179" t="s">
        <v>903</v>
      </c>
      <c r="B179">
        <v>144</v>
      </c>
    </row>
    <row r="180" spans="1:2" x14ac:dyDescent="0.25">
      <c r="A180" t="s">
        <v>908</v>
      </c>
      <c r="B180" s="1">
        <v>2425</v>
      </c>
    </row>
    <row r="181" spans="1:2" x14ac:dyDescent="0.25">
      <c r="A181" t="s">
        <v>913</v>
      </c>
      <c r="B181" s="1">
        <v>2709</v>
      </c>
    </row>
    <row r="182" spans="1:2" x14ac:dyDescent="0.25">
      <c r="A182" t="s">
        <v>918</v>
      </c>
      <c r="B182" s="1">
        <v>14130</v>
      </c>
    </row>
    <row r="183" spans="1:2" x14ac:dyDescent="0.25">
      <c r="A183" t="s">
        <v>923</v>
      </c>
      <c r="B183" s="1">
        <v>53974</v>
      </c>
    </row>
    <row r="184" spans="1:2" x14ac:dyDescent="0.25">
      <c r="A184" t="s">
        <v>928</v>
      </c>
      <c r="B184" s="1">
        <v>128558</v>
      </c>
    </row>
    <row r="185" spans="1:2" x14ac:dyDescent="0.25">
      <c r="A185" t="s">
        <v>933</v>
      </c>
      <c r="B185" s="1">
        <v>5559</v>
      </c>
    </row>
    <row r="186" spans="1:2" x14ac:dyDescent="0.25">
      <c r="A186" t="s">
        <v>938</v>
      </c>
      <c r="B186" s="1">
        <v>28876</v>
      </c>
    </row>
    <row r="187" spans="1:2" x14ac:dyDescent="0.25">
      <c r="A187" t="s">
        <v>943</v>
      </c>
      <c r="B187" s="1">
        <v>110849</v>
      </c>
    </row>
    <row r="188" spans="1:2" x14ac:dyDescent="0.25">
      <c r="A188" t="s">
        <v>948</v>
      </c>
      <c r="B188" s="1">
        <v>3324</v>
      </c>
    </row>
    <row r="189" spans="1:2" x14ac:dyDescent="0.25">
      <c r="A189" t="s">
        <v>953</v>
      </c>
      <c r="B189">
        <v>135</v>
      </c>
    </row>
    <row r="190" spans="1:2" x14ac:dyDescent="0.25">
      <c r="A190" t="s">
        <v>958</v>
      </c>
      <c r="B190" s="1">
        <v>11745</v>
      </c>
    </row>
    <row r="191" spans="1:2" x14ac:dyDescent="0.25">
      <c r="A191" t="s">
        <v>963</v>
      </c>
      <c r="B191" s="1">
        <v>44462</v>
      </c>
    </row>
    <row r="192" spans="1:2" x14ac:dyDescent="0.25">
      <c r="A192" t="s">
        <v>968</v>
      </c>
      <c r="B192" s="1">
        <v>6913</v>
      </c>
    </row>
    <row r="193" spans="1:2" x14ac:dyDescent="0.25">
      <c r="A193" t="s">
        <v>973</v>
      </c>
      <c r="B193" s="1">
        <v>3781</v>
      </c>
    </row>
    <row r="194" spans="1:2" x14ac:dyDescent="0.25">
      <c r="A194" t="s">
        <v>977</v>
      </c>
      <c r="B194" s="1">
        <v>13722</v>
      </c>
    </row>
    <row r="195" spans="1:2" x14ac:dyDescent="0.25">
      <c r="A195" t="s">
        <v>982</v>
      </c>
      <c r="B195" s="1">
        <v>18827</v>
      </c>
    </row>
    <row r="196" spans="1:2" x14ac:dyDescent="0.25">
      <c r="A196" t="s">
        <v>987</v>
      </c>
      <c r="B196" s="1">
        <v>3296</v>
      </c>
    </row>
    <row r="197" spans="1:2" x14ac:dyDescent="0.25">
      <c r="A197" t="s">
        <v>992</v>
      </c>
      <c r="B197" s="1">
        <v>25303</v>
      </c>
    </row>
    <row r="198" spans="1:2" x14ac:dyDescent="0.25">
      <c r="A198" t="s">
        <v>997</v>
      </c>
      <c r="B198">
        <v>114</v>
      </c>
    </row>
    <row r="199" spans="1:2" x14ac:dyDescent="0.25">
      <c r="A199" t="s">
        <v>1002</v>
      </c>
      <c r="B199" s="1">
        <v>19044</v>
      </c>
    </row>
    <row r="200" spans="1:2" x14ac:dyDescent="0.25">
      <c r="A200" t="s">
        <v>1007</v>
      </c>
      <c r="B200" s="1">
        <v>31307</v>
      </c>
    </row>
    <row r="201" spans="1:2" x14ac:dyDescent="0.25">
      <c r="A201" t="s">
        <v>1012</v>
      </c>
      <c r="B201" s="1">
        <v>3572</v>
      </c>
    </row>
    <row r="202" spans="1:2" x14ac:dyDescent="0.25">
      <c r="A202" t="s">
        <v>1017</v>
      </c>
      <c r="B202" s="1">
        <v>3585</v>
      </c>
    </row>
    <row r="203" spans="1:2" x14ac:dyDescent="0.25">
      <c r="A203" t="s">
        <v>1022</v>
      </c>
      <c r="B203" s="1">
        <v>7995</v>
      </c>
    </row>
    <row r="204" spans="1:2" x14ac:dyDescent="0.25">
      <c r="A204" t="s">
        <v>1027</v>
      </c>
      <c r="B204" s="1">
        <v>2453</v>
      </c>
    </row>
    <row r="205" spans="1:2" x14ac:dyDescent="0.25">
      <c r="A205" t="s">
        <v>1031</v>
      </c>
      <c r="B205" s="1">
        <v>14520</v>
      </c>
    </row>
    <row r="206" spans="1:2" x14ac:dyDescent="0.25">
      <c r="A206" t="s">
        <v>1036</v>
      </c>
      <c r="B206" s="1">
        <v>2574</v>
      </c>
    </row>
    <row r="207" spans="1:2" x14ac:dyDescent="0.25">
      <c r="A207" t="s">
        <v>1041</v>
      </c>
      <c r="B207" s="1">
        <v>19304</v>
      </c>
    </row>
    <row r="208" spans="1:2" x14ac:dyDescent="0.25">
      <c r="A208" t="s">
        <v>1046</v>
      </c>
      <c r="B208">
        <v>800</v>
      </c>
    </row>
    <row r="209" spans="1:2" x14ac:dyDescent="0.25">
      <c r="A209" t="s">
        <v>1051</v>
      </c>
      <c r="B209" s="1">
        <v>12051</v>
      </c>
    </row>
    <row r="210" spans="1:2" x14ac:dyDescent="0.25">
      <c r="A210" t="s">
        <v>1056</v>
      </c>
      <c r="B210" s="1">
        <v>6629</v>
      </c>
    </row>
    <row r="211" spans="1:2" x14ac:dyDescent="0.25">
      <c r="A211" t="s">
        <v>1061</v>
      </c>
      <c r="B211" s="1">
        <v>6283</v>
      </c>
    </row>
    <row r="212" spans="1:2" x14ac:dyDescent="0.25">
      <c r="A212" t="s">
        <v>1066</v>
      </c>
      <c r="B212" s="1">
        <v>5726</v>
      </c>
    </row>
    <row r="213" spans="1:2" x14ac:dyDescent="0.25">
      <c r="A213" t="s">
        <v>1070</v>
      </c>
      <c r="B213" s="1">
        <v>2333</v>
      </c>
    </row>
    <row r="214" spans="1:2" x14ac:dyDescent="0.25">
      <c r="A214" t="s">
        <v>1075</v>
      </c>
      <c r="B214" s="1">
        <v>36103</v>
      </c>
    </row>
    <row r="215" spans="1:2" x14ac:dyDescent="0.25">
      <c r="A215" t="s">
        <v>1080</v>
      </c>
      <c r="B215" s="1">
        <v>9407</v>
      </c>
    </row>
    <row r="216" spans="1:2" x14ac:dyDescent="0.25">
      <c r="A216" t="s">
        <v>1084</v>
      </c>
      <c r="B216" s="1">
        <v>16977</v>
      </c>
    </row>
    <row r="217" spans="1:2" x14ac:dyDescent="0.25">
      <c r="A217" t="s">
        <v>1089</v>
      </c>
      <c r="B217" s="1">
        <v>30979</v>
      </c>
    </row>
    <row r="218" spans="1:2" x14ac:dyDescent="0.25">
      <c r="A218" t="s">
        <v>1094</v>
      </c>
      <c r="B218" s="1">
        <v>3363</v>
      </c>
    </row>
    <row r="219" spans="1:2" x14ac:dyDescent="0.25">
      <c r="A219" t="s">
        <v>1099</v>
      </c>
      <c r="B219" s="1">
        <v>10522</v>
      </c>
    </row>
    <row r="220" spans="1:2" x14ac:dyDescent="0.25">
      <c r="A220" t="s">
        <v>1104</v>
      </c>
      <c r="B220" s="1">
        <v>13242</v>
      </c>
    </row>
    <row r="221" spans="1:2" x14ac:dyDescent="0.25">
      <c r="A221" t="s">
        <v>1109</v>
      </c>
      <c r="B221" s="1">
        <v>12964</v>
      </c>
    </row>
    <row r="222" spans="1:2" x14ac:dyDescent="0.25">
      <c r="A222" t="s">
        <v>1114</v>
      </c>
      <c r="B222" s="1">
        <v>23085</v>
      </c>
    </row>
    <row r="223" spans="1:2" x14ac:dyDescent="0.25">
      <c r="A223" t="s">
        <v>1119</v>
      </c>
      <c r="B223">
        <v>887</v>
      </c>
    </row>
    <row r="224" spans="1:2" x14ac:dyDescent="0.25">
      <c r="A224" t="s">
        <v>1124</v>
      </c>
      <c r="B224" s="1">
        <v>16846</v>
      </c>
    </row>
    <row r="225" spans="1:2" x14ac:dyDescent="0.25">
      <c r="A225" t="s">
        <v>1129</v>
      </c>
      <c r="B225" s="1">
        <v>3404</v>
      </c>
    </row>
    <row r="226" spans="1:2" x14ac:dyDescent="0.25">
      <c r="A226" t="s">
        <v>1134</v>
      </c>
      <c r="B226" s="1">
        <v>1158</v>
      </c>
    </row>
    <row r="227" spans="1:2" x14ac:dyDescent="0.25">
      <c r="A227" t="s">
        <v>1139</v>
      </c>
      <c r="B227" s="1">
        <v>39238</v>
      </c>
    </row>
    <row r="228" spans="1:2" x14ac:dyDescent="0.25">
      <c r="A228" t="s">
        <v>1144</v>
      </c>
      <c r="B228" s="1">
        <v>8202</v>
      </c>
    </row>
    <row r="229" spans="1:2" x14ac:dyDescent="0.25">
      <c r="A229" t="s">
        <v>1149</v>
      </c>
      <c r="B229" s="1">
        <v>15562</v>
      </c>
    </row>
    <row r="230" spans="1:2" x14ac:dyDescent="0.25">
      <c r="A230" t="s">
        <v>1154</v>
      </c>
      <c r="B230" s="1">
        <v>6574</v>
      </c>
    </row>
    <row r="231" spans="1:2" x14ac:dyDescent="0.25">
      <c r="A231" t="s">
        <v>1158</v>
      </c>
      <c r="B231" s="1">
        <v>32278</v>
      </c>
    </row>
    <row r="232" spans="1:2" x14ac:dyDescent="0.25">
      <c r="A232" t="s">
        <v>1163</v>
      </c>
      <c r="B232" s="1">
        <v>9139</v>
      </c>
    </row>
    <row r="233" spans="1:2" x14ac:dyDescent="0.25">
      <c r="A233" t="s">
        <v>1168</v>
      </c>
      <c r="B233" s="1">
        <v>79882</v>
      </c>
    </row>
    <row r="234" spans="1:2" x14ac:dyDescent="0.25">
      <c r="A234" t="s">
        <v>1173</v>
      </c>
      <c r="B234" s="1">
        <v>10319</v>
      </c>
    </row>
    <row r="235" spans="1:2" x14ac:dyDescent="0.25">
      <c r="A235" t="s">
        <v>1178</v>
      </c>
      <c r="B235" s="1">
        <v>5357</v>
      </c>
    </row>
    <row r="236" spans="1:2" x14ac:dyDescent="0.25">
      <c r="A236" t="s">
        <v>1183</v>
      </c>
      <c r="B236" s="1">
        <v>3028</v>
      </c>
    </row>
    <row r="237" spans="1:2" x14ac:dyDescent="0.25">
      <c r="A237" t="s">
        <v>1188</v>
      </c>
      <c r="B237" s="1">
        <v>4931</v>
      </c>
    </row>
    <row r="238" spans="1:2" x14ac:dyDescent="0.25">
      <c r="A238" t="s">
        <v>1193</v>
      </c>
      <c r="B238" s="1">
        <v>6671</v>
      </c>
    </row>
    <row r="239" spans="1:2" x14ac:dyDescent="0.25">
      <c r="A239" t="s">
        <v>1198</v>
      </c>
      <c r="B239" s="1">
        <v>2625</v>
      </c>
    </row>
    <row r="240" spans="1:2" x14ac:dyDescent="0.25">
      <c r="A240" t="s">
        <v>1203</v>
      </c>
      <c r="B240" s="1">
        <v>1669</v>
      </c>
    </row>
    <row r="241" spans="1:2" x14ac:dyDescent="0.25">
      <c r="A241" t="s">
        <v>1208</v>
      </c>
      <c r="B241" s="1">
        <v>2904</v>
      </c>
    </row>
    <row r="242" spans="1:2" x14ac:dyDescent="0.25">
      <c r="A242" t="s">
        <v>1213</v>
      </c>
      <c r="B242">
        <v>496</v>
      </c>
    </row>
    <row r="243" spans="1:2" x14ac:dyDescent="0.25">
      <c r="A243" t="s">
        <v>1218</v>
      </c>
      <c r="B243" s="1">
        <v>14768</v>
      </c>
    </row>
    <row r="244" spans="1:2" x14ac:dyDescent="0.25">
      <c r="A244" t="s">
        <v>1222</v>
      </c>
      <c r="B244" s="1">
        <v>16982</v>
      </c>
    </row>
    <row r="245" spans="1:2" x14ac:dyDescent="0.25">
      <c r="A245" t="s">
        <v>1227</v>
      </c>
      <c r="B245" s="1">
        <v>3589</v>
      </c>
    </row>
    <row r="246" spans="1:2" x14ac:dyDescent="0.25">
      <c r="A246" t="s">
        <v>1232</v>
      </c>
      <c r="B246" s="1">
        <v>244953</v>
      </c>
    </row>
    <row r="247" spans="1:2" x14ac:dyDescent="0.25">
      <c r="A247" t="s">
        <v>1236</v>
      </c>
      <c r="B247" s="1">
        <v>9464</v>
      </c>
    </row>
    <row r="248" spans="1:2" x14ac:dyDescent="0.25">
      <c r="A248" t="s">
        <v>1241</v>
      </c>
      <c r="B248" s="1">
        <v>3444</v>
      </c>
    </row>
    <row r="249" spans="1:2" x14ac:dyDescent="0.25">
      <c r="A249" t="s">
        <v>1246</v>
      </c>
      <c r="B249" s="1">
        <v>5047</v>
      </c>
    </row>
    <row r="250" spans="1:2" x14ac:dyDescent="0.25">
      <c r="A250" t="s">
        <v>1250</v>
      </c>
      <c r="B250" s="1">
        <v>3280</v>
      </c>
    </row>
    <row r="251" spans="1:2" x14ac:dyDescent="0.25">
      <c r="A251" t="s">
        <v>1255</v>
      </c>
      <c r="B251">
        <v>874</v>
      </c>
    </row>
    <row r="252" spans="1:2" x14ac:dyDescent="0.25">
      <c r="A252" t="s">
        <v>1260</v>
      </c>
      <c r="B252" s="1">
        <v>6095</v>
      </c>
    </row>
    <row r="253" spans="1:2" x14ac:dyDescent="0.25">
      <c r="A253" t="s">
        <v>1265</v>
      </c>
      <c r="B253" s="1">
        <v>2575</v>
      </c>
    </row>
    <row r="254" spans="1:2" x14ac:dyDescent="0.25">
      <c r="A254" t="s">
        <v>1270</v>
      </c>
      <c r="B254" s="1">
        <v>7715</v>
      </c>
    </row>
    <row r="255" spans="1:2" x14ac:dyDescent="0.25">
      <c r="A255" t="s">
        <v>1275</v>
      </c>
      <c r="B255" s="1">
        <v>6894</v>
      </c>
    </row>
    <row r="256" spans="1:2" x14ac:dyDescent="0.25">
      <c r="A256" t="s">
        <v>1280</v>
      </c>
      <c r="B256">
        <v>209</v>
      </c>
    </row>
    <row r="257" spans="1:2" x14ac:dyDescent="0.25">
      <c r="A257" t="s">
        <v>1285</v>
      </c>
      <c r="B257" s="1">
        <v>44753</v>
      </c>
    </row>
    <row r="258" spans="1:2" x14ac:dyDescent="0.25">
      <c r="A258" t="s">
        <v>1289</v>
      </c>
      <c r="B258" s="1">
        <v>5349</v>
      </c>
    </row>
    <row r="259" spans="1:2" x14ac:dyDescent="0.25">
      <c r="A259" t="s">
        <v>1294</v>
      </c>
      <c r="B259" s="1">
        <v>8498</v>
      </c>
    </row>
    <row r="260" spans="1:2" x14ac:dyDescent="0.25">
      <c r="A260" t="s">
        <v>1299</v>
      </c>
      <c r="B260" s="1">
        <v>12492</v>
      </c>
    </row>
    <row r="261" spans="1:2" x14ac:dyDescent="0.25">
      <c r="A261" t="s">
        <v>1303</v>
      </c>
      <c r="B261" s="1">
        <v>25100</v>
      </c>
    </row>
    <row r="262" spans="1:2" x14ac:dyDescent="0.25">
      <c r="A262" t="s">
        <v>1308</v>
      </c>
      <c r="B262" s="1">
        <v>2679</v>
      </c>
    </row>
    <row r="263" spans="1:2" x14ac:dyDescent="0.25">
      <c r="A263" t="s">
        <v>1313</v>
      </c>
      <c r="B263" s="1">
        <v>32165</v>
      </c>
    </row>
    <row r="264" spans="1:2" x14ac:dyDescent="0.25">
      <c r="A264" t="s">
        <v>1318</v>
      </c>
      <c r="B264">
        <v>550</v>
      </c>
    </row>
    <row r="265" spans="1:2" x14ac:dyDescent="0.25">
      <c r="A265" t="s">
        <v>1323</v>
      </c>
      <c r="B265" s="1">
        <v>5782</v>
      </c>
    </row>
    <row r="266" spans="1:2" x14ac:dyDescent="0.25">
      <c r="A266" t="s">
        <v>1327</v>
      </c>
      <c r="B266" s="1">
        <v>19582</v>
      </c>
    </row>
    <row r="267" spans="1:2" x14ac:dyDescent="0.25">
      <c r="A267" t="s">
        <v>1332</v>
      </c>
      <c r="B267" s="1">
        <v>2146</v>
      </c>
    </row>
    <row r="268" spans="1:2" x14ac:dyDescent="0.25">
      <c r="A268" t="s">
        <v>1337</v>
      </c>
      <c r="B268" s="1">
        <v>3903</v>
      </c>
    </row>
    <row r="269" spans="1:2" x14ac:dyDescent="0.25">
      <c r="A269" t="s">
        <v>1342</v>
      </c>
      <c r="B269" s="1">
        <v>1281</v>
      </c>
    </row>
    <row r="270" spans="1:2" x14ac:dyDescent="0.25">
      <c r="A270" t="s">
        <v>1347</v>
      </c>
      <c r="B270" s="1">
        <v>4153</v>
      </c>
    </row>
    <row r="271" spans="1:2" x14ac:dyDescent="0.25">
      <c r="A271" t="s">
        <v>1357</v>
      </c>
      <c r="B271" s="1">
        <v>32210</v>
      </c>
    </row>
    <row r="272" spans="1:2" x14ac:dyDescent="0.25">
      <c r="A272" t="s">
        <v>1362</v>
      </c>
      <c r="B272" s="1">
        <v>7331</v>
      </c>
    </row>
    <row r="273" spans="1:2" x14ac:dyDescent="0.25">
      <c r="A273" t="s">
        <v>1367</v>
      </c>
      <c r="B273">
        <v>881</v>
      </c>
    </row>
    <row r="274" spans="1:2" x14ac:dyDescent="0.25">
      <c r="A274" t="s">
        <v>1372</v>
      </c>
      <c r="B274" s="1">
        <v>1293</v>
      </c>
    </row>
    <row r="275" spans="1:2" x14ac:dyDescent="0.25">
      <c r="A275" t="s">
        <v>1377</v>
      </c>
      <c r="B275" s="1">
        <v>1699</v>
      </c>
    </row>
    <row r="276" spans="1:2" x14ac:dyDescent="0.25">
      <c r="A276" t="s">
        <v>1382</v>
      </c>
      <c r="B276" s="1">
        <v>4318</v>
      </c>
    </row>
    <row r="277" spans="1:2" x14ac:dyDescent="0.25">
      <c r="A277" t="s">
        <v>1387</v>
      </c>
      <c r="B277" s="1">
        <v>10574</v>
      </c>
    </row>
    <row r="278" spans="1:2" x14ac:dyDescent="0.25">
      <c r="A278" t="s">
        <v>1390</v>
      </c>
      <c r="B278" s="1">
        <v>4628</v>
      </c>
    </row>
    <row r="279" spans="1:2" x14ac:dyDescent="0.25">
      <c r="A279" t="s">
        <v>1395</v>
      </c>
      <c r="B279" s="1">
        <v>3812</v>
      </c>
    </row>
    <row r="280" spans="1:2" x14ac:dyDescent="0.25">
      <c r="A280" t="s">
        <v>1400</v>
      </c>
      <c r="B280" s="1">
        <v>9394</v>
      </c>
    </row>
    <row r="281" spans="1:2" x14ac:dyDescent="0.25">
      <c r="A281" t="s">
        <v>1405</v>
      </c>
      <c r="B281" s="1">
        <v>70988</v>
      </c>
    </row>
    <row r="282" spans="1:2" x14ac:dyDescent="0.25">
      <c r="A282" t="s">
        <v>1410</v>
      </c>
      <c r="B282" s="1">
        <v>1241</v>
      </c>
    </row>
    <row r="283" spans="1:2" x14ac:dyDescent="0.25">
      <c r="A283" t="s">
        <v>1415</v>
      </c>
      <c r="B283" s="1">
        <v>1239</v>
      </c>
    </row>
    <row r="284" spans="1:2" x14ac:dyDescent="0.25">
      <c r="A284" t="s">
        <v>1419</v>
      </c>
      <c r="B284" s="1">
        <v>1333</v>
      </c>
    </row>
    <row r="285" spans="1:2" x14ac:dyDescent="0.25">
      <c r="A285" t="s">
        <v>1424</v>
      </c>
      <c r="B285" s="1">
        <v>11157</v>
      </c>
    </row>
    <row r="286" spans="1:2" x14ac:dyDescent="0.25">
      <c r="A286" t="s">
        <v>2919</v>
      </c>
      <c r="B286" s="1">
        <v>93389</v>
      </c>
    </row>
    <row r="287" spans="1:2" x14ac:dyDescent="0.25">
      <c r="A287" t="s">
        <v>1429</v>
      </c>
      <c r="B287" s="1">
        <v>16052</v>
      </c>
    </row>
    <row r="288" spans="1:2" x14ac:dyDescent="0.25">
      <c r="A288" t="s">
        <v>1434</v>
      </c>
      <c r="B288" s="1">
        <v>3364</v>
      </c>
    </row>
    <row r="289" spans="1:2" x14ac:dyDescent="0.25">
      <c r="A289" t="s">
        <v>1439</v>
      </c>
      <c r="B289" s="1">
        <v>13646</v>
      </c>
    </row>
    <row r="290" spans="1:2" x14ac:dyDescent="0.25">
      <c r="A290" t="s">
        <v>1444</v>
      </c>
      <c r="B290" s="1">
        <v>15918</v>
      </c>
    </row>
    <row r="291" spans="1:2" x14ac:dyDescent="0.25">
      <c r="A291" t="s">
        <v>1448</v>
      </c>
      <c r="B291" s="1">
        <v>19359</v>
      </c>
    </row>
    <row r="292" spans="1:2" x14ac:dyDescent="0.25">
      <c r="A292" t="s">
        <v>1452</v>
      </c>
      <c r="B292" s="1">
        <v>24230</v>
      </c>
    </row>
    <row r="293" spans="1:2" x14ac:dyDescent="0.25">
      <c r="A293" t="s">
        <v>1456</v>
      </c>
      <c r="B293" s="1">
        <v>8377</v>
      </c>
    </row>
    <row r="294" spans="1:2" x14ac:dyDescent="0.25">
      <c r="A294" t="s">
        <v>1461</v>
      </c>
      <c r="B294" s="1">
        <v>1709</v>
      </c>
    </row>
    <row r="295" spans="1:2" x14ac:dyDescent="0.25">
      <c r="A295" t="s">
        <v>1466</v>
      </c>
      <c r="B295" s="1">
        <v>9771</v>
      </c>
    </row>
    <row r="296" spans="1:2" x14ac:dyDescent="0.25">
      <c r="A296" t="s">
        <v>1471</v>
      </c>
      <c r="B296" s="1">
        <v>2758</v>
      </c>
    </row>
    <row r="297" spans="1:2" x14ac:dyDescent="0.25">
      <c r="A297" t="s">
        <v>1476</v>
      </c>
      <c r="B297" s="1">
        <v>11276</v>
      </c>
    </row>
    <row r="298" spans="1:2" x14ac:dyDescent="0.25">
      <c r="A298" t="s">
        <v>1481</v>
      </c>
      <c r="B298" s="1">
        <v>5670</v>
      </c>
    </row>
    <row r="299" spans="1:2" x14ac:dyDescent="0.25">
      <c r="A299" t="s">
        <v>1485</v>
      </c>
      <c r="B299">
        <v>517</v>
      </c>
    </row>
    <row r="300" spans="1:2" x14ac:dyDescent="0.25">
      <c r="A300" t="s">
        <v>1490</v>
      </c>
      <c r="B300">
        <v>401</v>
      </c>
    </row>
    <row r="301" spans="1:2" x14ac:dyDescent="0.25">
      <c r="A301" t="s">
        <v>1495</v>
      </c>
      <c r="B301">
        <v>823</v>
      </c>
    </row>
    <row r="302" spans="1:2" x14ac:dyDescent="0.25">
      <c r="A302" t="s">
        <v>1500</v>
      </c>
      <c r="B302">
        <v>266</v>
      </c>
    </row>
    <row r="303" spans="1:2" x14ac:dyDescent="0.25">
      <c r="A303" t="s">
        <v>1505</v>
      </c>
      <c r="B303" s="1">
        <v>4925</v>
      </c>
    </row>
    <row r="304" spans="1:2" x14ac:dyDescent="0.25">
      <c r="A304" t="s">
        <v>1510</v>
      </c>
      <c r="B304" s="1">
        <v>1032</v>
      </c>
    </row>
    <row r="305" spans="1:2" x14ac:dyDescent="0.25">
      <c r="A305" t="s">
        <v>1515</v>
      </c>
      <c r="B305" s="1">
        <v>1636</v>
      </c>
    </row>
    <row r="306" spans="1:2" x14ac:dyDescent="0.25">
      <c r="A306" t="s">
        <v>1520</v>
      </c>
      <c r="B306" s="1">
        <v>2270</v>
      </c>
    </row>
    <row r="307" spans="1:2" x14ac:dyDescent="0.25">
      <c r="A307" t="s">
        <v>1525</v>
      </c>
      <c r="B307" s="1">
        <v>29341</v>
      </c>
    </row>
    <row r="308" spans="1:2" x14ac:dyDescent="0.25">
      <c r="A308" t="s">
        <v>1530</v>
      </c>
      <c r="B308" s="1">
        <v>4632</v>
      </c>
    </row>
    <row r="309" spans="1:2" x14ac:dyDescent="0.25">
      <c r="A309" t="s">
        <v>1535</v>
      </c>
      <c r="B309" s="1">
        <v>1743</v>
      </c>
    </row>
    <row r="310" spans="1:2" x14ac:dyDescent="0.25">
      <c r="A310" t="s">
        <v>1539</v>
      </c>
      <c r="B310" s="1">
        <v>12667</v>
      </c>
    </row>
    <row r="311" spans="1:2" x14ac:dyDescent="0.25">
      <c r="A311" t="s">
        <v>1544</v>
      </c>
      <c r="B311" s="1">
        <v>2103</v>
      </c>
    </row>
    <row r="312" spans="1:2" x14ac:dyDescent="0.25">
      <c r="A312" t="s">
        <v>1549</v>
      </c>
      <c r="B312" s="1">
        <v>10725</v>
      </c>
    </row>
    <row r="313" spans="1:2" x14ac:dyDescent="0.25">
      <c r="A313" t="s">
        <v>1554</v>
      </c>
      <c r="B313" s="1">
        <v>3307</v>
      </c>
    </row>
    <row r="314" spans="1:2" x14ac:dyDescent="0.25">
      <c r="A314" t="s">
        <v>1559</v>
      </c>
      <c r="B314" s="1">
        <v>23869</v>
      </c>
    </row>
    <row r="315" spans="1:2" x14ac:dyDescent="0.25">
      <c r="A315" t="s">
        <v>1564</v>
      </c>
      <c r="B315" s="1">
        <v>6340</v>
      </c>
    </row>
    <row r="316" spans="1:2" x14ac:dyDescent="0.25">
      <c r="A316" t="s">
        <v>1568</v>
      </c>
      <c r="B316" s="1">
        <v>15672</v>
      </c>
    </row>
    <row r="317" spans="1:2" x14ac:dyDescent="0.25">
      <c r="A317" t="s">
        <v>1573</v>
      </c>
      <c r="B317" s="1">
        <v>4628</v>
      </c>
    </row>
    <row r="318" spans="1:2" x14ac:dyDescent="0.25">
      <c r="A318" t="s">
        <v>1578</v>
      </c>
      <c r="B318" s="1">
        <v>74163</v>
      </c>
    </row>
    <row r="319" spans="1:2" x14ac:dyDescent="0.25">
      <c r="A319" t="s">
        <v>1583</v>
      </c>
      <c r="B319" s="1">
        <v>10282</v>
      </c>
    </row>
    <row r="320" spans="1:2" x14ac:dyDescent="0.25">
      <c r="A320" t="s">
        <v>1588</v>
      </c>
      <c r="B320" s="1">
        <v>85822</v>
      </c>
    </row>
    <row r="321" spans="1:2" x14ac:dyDescent="0.25">
      <c r="A321" t="s">
        <v>1593</v>
      </c>
      <c r="B321" s="1">
        <v>94358</v>
      </c>
    </row>
    <row r="322" spans="1:2" x14ac:dyDescent="0.25">
      <c r="A322" t="s">
        <v>1597</v>
      </c>
      <c r="B322" s="1">
        <v>57404</v>
      </c>
    </row>
    <row r="323" spans="1:2" x14ac:dyDescent="0.25">
      <c r="A323" t="s">
        <v>1602</v>
      </c>
      <c r="B323" s="1">
        <v>5890</v>
      </c>
    </row>
    <row r="324" spans="1:2" x14ac:dyDescent="0.25">
      <c r="A324" t="s">
        <v>1607</v>
      </c>
      <c r="B324" s="1">
        <v>4902</v>
      </c>
    </row>
    <row r="325" spans="1:2" x14ac:dyDescent="0.25">
      <c r="A325" t="s">
        <v>1612</v>
      </c>
      <c r="B325">
        <v>302</v>
      </c>
    </row>
    <row r="326" spans="1:2" x14ac:dyDescent="0.25">
      <c r="A326" t="s">
        <v>1617</v>
      </c>
      <c r="B326">
        <v>695</v>
      </c>
    </row>
    <row r="327" spans="1:2" x14ac:dyDescent="0.25">
      <c r="A327" t="s">
        <v>1622</v>
      </c>
      <c r="B327" s="1">
        <v>8407</v>
      </c>
    </row>
    <row r="328" spans="1:2" x14ac:dyDescent="0.25">
      <c r="A328" t="s">
        <v>1627</v>
      </c>
      <c r="B328">
        <v>310</v>
      </c>
    </row>
    <row r="329" spans="1:2" x14ac:dyDescent="0.25">
      <c r="A329" t="s">
        <v>1632</v>
      </c>
      <c r="B329" s="1">
        <v>12316</v>
      </c>
    </row>
    <row r="330" spans="1:2" x14ac:dyDescent="0.25">
      <c r="A330" t="s">
        <v>1637</v>
      </c>
      <c r="B330">
        <v>475</v>
      </c>
    </row>
    <row r="331" spans="1:2" x14ac:dyDescent="0.25">
      <c r="A331" t="s">
        <v>1642</v>
      </c>
      <c r="B331" s="1">
        <v>3801</v>
      </c>
    </row>
    <row r="332" spans="1:2" x14ac:dyDescent="0.25">
      <c r="A332" t="s">
        <v>1647</v>
      </c>
      <c r="B332" s="1">
        <v>19077</v>
      </c>
    </row>
    <row r="333" spans="1:2" x14ac:dyDescent="0.25">
      <c r="A333" t="s">
        <v>1652</v>
      </c>
      <c r="B333" s="1">
        <v>2042</v>
      </c>
    </row>
    <row r="334" spans="1:2" x14ac:dyDescent="0.25">
      <c r="A334" t="s">
        <v>1657</v>
      </c>
      <c r="B334" s="1">
        <v>68987</v>
      </c>
    </row>
    <row r="335" spans="1:2" x14ac:dyDescent="0.25">
      <c r="A335" t="s">
        <v>1662</v>
      </c>
      <c r="B335" s="1">
        <v>10355</v>
      </c>
    </row>
    <row r="336" spans="1:2" x14ac:dyDescent="0.25">
      <c r="A336" t="s">
        <v>1667</v>
      </c>
      <c r="B336" s="1">
        <v>682572</v>
      </c>
    </row>
    <row r="337" spans="1:2" x14ac:dyDescent="0.25">
      <c r="A337" t="s">
        <v>1672</v>
      </c>
      <c r="B337" s="1">
        <v>5446</v>
      </c>
    </row>
    <row r="338" spans="1:2" x14ac:dyDescent="0.25">
      <c r="A338" t="s">
        <v>1677</v>
      </c>
      <c r="B338" s="1">
        <v>7516</v>
      </c>
    </row>
    <row r="339" spans="1:2" x14ac:dyDescent="0.25">
      <c r="A339" t="s">
        <v>1682</v>
      </c>
      <c r="B339" s="1">
        <v>215948</v>
      </c>
    </row>
    <row r="340" spans="1:2" x14ac:dyDescent="0.25">
      <c r="A340" t="s">
        <v>1687</v>
      </c>
      <c r="B340" s="1">
        <v>1261</v>
      </c>
    </row>
    <row r="341" spans="1:2" x14ac:dyDescent="0.25">
      <c r="A341" t="s">
        <v>1692</v>
      </c>
      <c r="B341">
        <v>345</v>
      </c>
    </row>
    <row r="342" spans="1:2" x14ac:dyDescent="0.25">
      <c r="A342" t="s">
        <v>1696</v>
      </c>
      <c r="B342" s="1">
        <v>3753</v>
      </c>
    </row>
    <row r="343" spans="1:2" x14ac:dyDescent="0.25">
      <c r="A343" t="s">
        <v>1701</v>
      </c>
      <c r="B343" s="1">
        <v>12021</v>
      </c>
    </row>
    <row r="344" spans="1:2" x14ac:dyDescent="0.25">
      <c r="A344" t="s">
        <v>1706</v>
      </c>
      <c r="B344" s="1">
        <v>2589</v>
      </c>
    </row>
    <row r="345" spans="1:2" x14ac:dyDescent="0.25">
      <c r="A345" t="s">
        <v>1711</v>
      </c>
      <c r="B345" s="1">
        <v>23439</v>
      </c>
    </row>
    <row r="346" spans="1:2" x14ac:dyDescent="0.25">
      <c r="A346" t="s">
        <v>1715</v>
      </c>
      <c r="B346" s="1">
        <v>8197</v>
      </c>
    </row>
    <row r="347" spans="1:2" x14ac:dyDescent="0.25">
      <c r="A347" t="s">
        <v>1720</v>
      </c>
      <c r="B347" s="1">
        <v>1547</v>
      </c>
    </row>
    <row r="348" spans="1:2" x14ac:dyDescent="0.25">
      <c r="A348" t="s">
        <v>1725</v>
      </c>
      <c r="B348" s="1">
        <v>8498</v>
      </c>
    </row>
    <row r="349" spans="1:2" x14ac:dyDescent="0.25">
      <c r="A349" t="s">
        <v>1730</v>
      </c>
      <c r="B349">
        <v>258</v>
      </c>
    </row>
    <row r="350" spans="1:2" x14ac:dyDescent="0.25">
      <c r="A350" t="s">
        <v>1735</v>
      </c>
      <c r="B350" s="1">
        <v>1446</v>
      </c>
    </row>
    <row r="351" spans="1:2" x14ac:dyDescent="0.25">
      <c r="A351" t="s">
        <v>1740</v>
      </c>
      <c r="B351" s="1">
        <v>2795</v>
      </c>
    </row>
    <row r="352" spans="1:2" x14ac:dyDescent="0.25">
      <c r="A352" t="s">
        <v>1745</v>
      </c>
      <c r="B352" s="1">
        <v>4299</v>
      </c>
    </row>
    <row r="353" spans="1:2" x14ac:dyDescent="0.25">
      <c r="A353" t="s">
        <v>1750</v>
      </c>
      <c r="B353" s="1">
        <v>17191</v>
      </c>
    </row>
    <row r="354" spans="1:2" x14ac:dyDescent="0.25">
      <c r="A354" t="s">
        <v>1755</v>
      </c>
      <c r="B354" s="1">
        <v>3445</v>
      </c>
    </row>
    <row r="355" spans="1:2" x14ac:dyDescent="0.25">
      <c r="A355" t="s">
        <v>1760</v>
      </c>
      <c r="B355" s="1">
        <v>128286</v>
      </c>
    </row>
    <row r="356" spans="1:2" x14ac:dyDescent="0.25">
      <c r="A356" t="s">
        <v>1765</v>
      </c>
      <c r="B356" s="1">
        <v>35277</v>
      </c>
    </row>
    <row r="357" spans="1:2" x14ac:dyDescent="0.25">
      <c r="A357" t="s">
        <v>1770</v>
      </c>
      <c r="B357" s="1">
        <v>15696</v>
      </c>
    </row>
    <row r="358" spans="1:2" x14ac:dyDescent="0.25">
      <c r="A358" t="s">
        <v>1774</v>
      </c>
      <c r="B358">
        <v>500</v>
      </c>
    </row>
    <row r="359" spans="1:2" x14ac:dyDescent="0.25">
      <c r="A359" t="s">
        <v>1779</v>
      </c>
      <c r="B359" s="1">
        <v>3419</v>
      </c>
    </row>
    <row r="360" spans="1:2" x14ac:dyDescent="0.25">
      <c r="A360" t="s">
        <v>1784</v>
      </c>
      <c r="B360" s="1">
        <v>16641</v>
      </c>
    </row>
    <row r="361" spans="1:2" x14ac:dyDescent="0.25">
      <c r="A361" t="s">
        <v>1789</v>
      </c>
      <c r="B361" s="1">
        <v>74977</v>
      </c>
    </row>
    <row r="362" spans="1:2" x14ac:dyDescent="0.25">
      <c r="A362" t="s">
        <v>1794</v>
      </c>
      <c r="B362" s="1">
        <v>9294</v>
      </c>
    </row>
    <row r="363" spans="1:2" x14ac:dyDescent="0.25">
      <c r="A363" t="s">
        <v>1799</v>
      </c>
      <c r="B363" s="1">
        <v>9492</v>
      </c>
    </row>
    <row r="364" spans="1:2" x14ac:dyDescent="0.25">
      <c r="A364" t="s">
        <v>1804</v>
      </c>
      <c r="B364" s="1">
        <v>9582</v>
      </c>
    </row>
    <row r="365" spans="1:2" x14ac:dyDescent="0.25">
      <c r="A365" t="s">
        <v>1809</v>
      </c>
      <c r="B365" s="1">
        <v>4615</v>
      </c>
    </row>
    <row r="366" spans="1:2" x14ac:dyDescent="0.25">
      <c r="A366" t="s">
        <v>1814</v>
      </c>
      <c r="B366" s="1">
        <v>21854</v>
      </c>
    </row>
    <row r="367" spans="1:2" x14ac:dyDescent="0.25">
      <c r="A367" t="s">
        <v>1819</v>
      </c>
      <c r="B367" s="1">
        <v>157383</v>
      </c>
    </row>
    <row r="368" spans="1:2" x14ac:dyDescent="0.25">
      <c r="A368" t="s">
        <v>1824</v>
      </c>
      <c r="B368">
        <v>742</v>
      </c>
    </row>
    <row r="369" spans="1:2" x14ac:dyDescent="0.25">
      <c r="A369" t="s">
        <v>1829</v>
      </c>
      <c r="B369" s="1">
        <v>7471</v>
      </c>
    </row>
    <row r="370" spans="1:2" x14ac:dyDescent="0.25">
      <c r="A370" t="s">
        <v>1834</v>
      </c>
      <c r="B370" s="1">
        <v>13476</v>
      </c>
    </row>
    <row r="371" spans="1:2" x14ac:dyDescent="0.25">
      <c r="A371" t="s">
        <v>1839</v>
      </c>
      <c r="B371" s="1">
        <v>56083</v>
      </c>
    </row>
    <row r="372" spans="1:2" x14ac:dyDescent="0.25">
      <c r="A372" t="s">
        <v>1843</v>
      </c>
      <c r="B372" s="1">
        <v>3367</v>
      </c>
    </row>
    <row r="373" spans="1:2" x14ac:dyDescent="0.25">
      <c r="A373" t="s">
        <v>1848</v>
      </c>
      <c r="B373" s="1">
        <v>14501</v>
      </c>
    </row>
    <row r="374" spans="1:2" x14ac:dyDescent="0.25">
      <c r="A374" t="s">
        <v>1853</v>
      </c>
      <c r="B374" s="1">
        <v>32398</v>
      </c>
    </row>
    <row r="375" spans="1:2" x14ac:dyDescent="0.25">
      <c r="A375" t="s">
        <v>1858</v>
      </c>
      <c r="B375" s="1">
        <v>3373</v>
      </c>
    </row>
    <row r="376" spans="1:2" x14ac:dyDescent="0.25">
      <c r="A376" t="s">
        <v>1863</v>
      </c>
      <c r="B376" s="1">
        <v>1724</v>
      </c>
    </row>
    <row r="377" spans="1:2" x14ac:dyDescent="0.25">
      <c r="A377" t="s">
        <v>1868</v>
      </c>
      <c r="B377" s="1">
        <v>9958</v>
      </c>
    </row>
    <row r="378" spans="1:2" x14ac:dyDescent="0.25">
      <c r="A378" t="s">
        <v>1873</v>
      </c>
      <c r="B378">
        <v>742</v>
      </c>
    </row>
    <row r="379" spans="1:2" x14ac:dyDescent="0.25">
      <c r="A379" t="s">
        <v>1878</v>
      </c>
      <c r="B379" s="1">
        <v>1104</v>
      </c>
    </row>
    <row r="380" spans="1:2" x14ac:dyDescent="0.25">
      <c r="A380" t="s">
        <v>1883</v>
      </c>
      <c r="B380">
        <v>472</v>
      </c>
    </row>
    <row r="381" spans="1:2" x14ac:dyDescent="0.25">
      <c r="A381" t="s">
        <v>1888</v>
      </c>
      <c r="B381" s="1">
        <v>1843</v>
      </c>
    </row>
    <row r="382" spans="1:2" x14ac:dyDescent="0.25">
      <c r="A382" t="s">
        <v>1893</v>
      </c>
      <c r="B382">
        <v>119</v>
      </c>
    </row>
    <row r="383" spans="1:2" x14ac:dyDescent="0.25">
      <c r="A383" t="s">
        <v>1898</v>
      </c>
      <c r="B383" s="1">
        <v>13457</v>
      </c>
    </row>
    <row r="384" spans="1:2" x14ac:dyDescent="0.25">
      <c r="A384" t="s">
        <v>1903</v>
      </c>
      <c r="B384" s="1">
        <v>21529</v>
      </c>
    </row>
    <row r="385" spans="1:2" x14ac:dyDescent="0.25">
      <c r="A385" t="s">
        <v>1908</v>
      </c>
      <c r="B385" s="1">
        <v>14157</v>
      </c>
    </row>
    <row r="386" spans="1:2" x14ac:dyDescent="0.25">
      <c r="A386" t="s">
        <v>1912</v>
      </c>
      <c r="B386" s="1">
        <v>31713</v>
      </c>
    </row>
    <row r="387" spans="1:2" x14ac:dyDescent="0.25">
      <c r="A387" t="s">
        <v>1917</v>
      </c>
      <c r="B387" s="1">
        <v>18782</v>
      </c>
    </row>
    <row r="388" spans="1:2" x14ac:dyDescent="0.25">
      <c r="A388" t="s">
        <v>1922</v>
      </c>
      <c r="B388" s="1">
        <v>1082</v>
      </c>
    </row>
    <row r="389" spans="1:2" x14ac:dyDescent="0.25">
      <c r="A389" t="s">
        <v>1927</v>
      </c>
      <c r="B389" s="1">
        <v>23345</v>
      </c>
    </row>
    <row r="390" spans="1:2" x14ac:dyDescent="0.25">
      <c r="A390" t="s">
        <v>1932</v>
      </c>
      <c r="B390" s="1">
        <v>3153</v>
      </c>
    </row>
    <row r="391" spans="1:2" x14ac:dyDescent="0.25">
      <c r="A391" t="s">
        <v>1936</v>
      </c>
      <c r="B391" s="1">
        <v>10417</v>
      </c>
    </row>
    <row r="392" spans="1:2" x14ac:dyDescent="0.25">
      <c r="A392" t="s">
        <v>1941</v>
      </c>
      <c r="B392" s="1">
        <v>18415</v>
      </c>
    </row>
    <row r="393" spans="1:2" x14ac:dyDescent="0.25">
      <c r="A393" t="s">
        <v>1946</v>
      </c>
      <c r="B393" s="1">
        <v>7817</v>
      </c>
    </row>
    <row r="394" spans="1:2" x14ac:dyDescent="0.25">
      <c r="A394" t="s">
        <v>1950</v>
      </c>
      <c r="B394" s="1">
        <v>2814</v>
      </c>
    </row>
    <row r="395" spans="1:2" x14ac:dyDescent="0.25">
      <c r="A395" t="s">
        <v>1955</v>
      </c>
      <c r="B395" s="1">
        <v>4568</v>
      </c>
    </row>
    <row r="396" spans="1:2" x14ac:dyDescent="0.25">
      <c r="A396" t="s">
        <v>1960</v>
      </c>
      <c r="B396" s="1">
        <v>7797</v>
      </c>
    </row>
    <row r="397" spans="1:2" x14ac:dyDescent="0.25">
      <c r="A397" t="s">
        <v>1965</v>
      </c>
      <c r="B397" s="1">
        <v>1723</v>
      </c>
    </row>
    <row r="398" spans="1:2" x14ac:dyDescent="0.25">
      <c r="A398" t="s">
        <v>1970</v>
      </c>
      <c r="B398" s="1">
        <v>2922</v>
      </c>
    </row>
    <row r="399" spans="1:2" x14ac:dyDescent="0.25">
      <c r="A399" t="s">
        <v>1975</v>
      </c>
      <c r="B399" s="1">
        <v>34458</v>
      </c>
    </row>
    <row r="400" spans="1:2" x14ac:dyDescent="0.25">
      <c r="A400" t="s">
        <v>1980</v>
      </c>
      <c r="B400" s="1">
        <v>1878</v>
      </c>
    </row>
    <row r="401" spans="1:2" x14ac:dyDescent="0.25">
      <c r="A401" t="s">
        <v>1985</v>
      </c>
      <c r="B401" s="1">
        <v>86272</v>
      </c>
    </row>
    <row r="402" spans="1:2" x14ac:dyDescent="0.25">
      <c r="A402" t="s">
        <v>1990</v>
      </c>
      <c r="B402" s="1">
        <v>3258</v>
      </c>
    </row>
    <row r="403" spans="1:2" x14ac:dyDescent="0.25">
      <c r="A403" t="s">
        <v>1995</v>
      </c>
      <c r="B403" s="1">
        <v>3180</v>
      </c>
    </row>
    <row r="404" spans="1:2" x14ac:dyDescent="0.25">
      <c r="A404" t="s">
        <v>2000</v>
      </c>
      <c r="B404" s="1">
        <v>96664</v>
      </c>
    </row>
    <row r="405" spans="1:2" x14ac:dyDescent="0.25">
      <c r="A405" t="s">
        <v>2005</v>
      </c>
      <c r="B405" s="1">
        <v>7411</v>
      </c>
    </row>
    <row r="406" spans="1:2" x14ac:dyDescent="0.25">
      <c r="A406" t="s">
        <v>2010</v>
      </c>
      <c r="B406" s="1">
        <v>3561</v>
      </c>
    </row>
    <row r="407" spans="1:2" x14ac:dyDescent="0.25">
      <c r="A407" t="s">
        <v>2015</v>
      </c>
      <c r="B407" s="1">
        <v>1463</v>
      </c>
    </row>
    <row r="408" spans="1:2" x14ac:dyDescent="0.25">
      <c r="A408" t="s">
        <v>2019</v>
      </c>
      <c r="B408" s="1">
        <v>6312</v>
      </c>
    </row>
    <row r="409" spans="1:2" x14ac:dyDescent="0.25">
      <c r="A409" t="s">
        <v>2024</v>
      </c>
      <c r="B409" s="1">
        <v>3977</v>
      </c>
    </row>
    <row r="410" spans="1:2" x14ac:dyDescent="0.25">
      <c r="A410" t="s">
        <v>2029</v>
      </c>
      <c r="B410" s="1">
        <v>3491</v>
      </c>
    </row>
    <row r="411" spans="1:2" x14ac:dyDescent="0.25">
      <c r="A411" t="s">
        <v>2034</v>
      </c>
      <c r="B411" s="1">
        <v>25872</v>
      </c>
    </row>
    <row r="412" spans="1:2" x14ac:dyDescent="0.25">
      <c r="A412" t="s">
        <v>2039</v>
      </c>
      <c r="B412" s="1">
        <v>71210</v>
      </c>
    </row>
    <row r="413" spans="1:2" x14ac:dyDescent="0.25">
      <c r="A413" t="s">
        <v>2044</v>
      </c>
      <c r="B413" s="1">
        <v>3975</v>
      </c>
    </row>
    <row r="414" spans="1:2" x14ac:dyDescent="0.25">
      <c r="A414" t="s">
        <v>2049</v>
      </c>
      <c r="B414" s="1">
        <v>1836</v>
      </c>
    </row>
    <row r="415" spans="1:2" x14ac:dyDescent="0.25">
      <c r="A415" t="s">
        <v>2054</v>
      </c>
      <c r="B415" s="1">
        <v>39832</v>
      </c>
    </row>
    <row r="416" spans="1:2" x14ac:dyDescent="0.25">
      <c r="A416" t="s">
        <v>2059</v>
      </c>
      <c r="B416" s="1">
        <v>8877</v>
      </c>
    </row>
    <row r="417" spans="1:2" x14ac:dyDescent="0.25">
      <c r="A417" t="s">
        <v>2064</v>
      </c>
      <c r="B417" s="1">
        <v>2055</v>
      </c>
    </row>
    <row r="418" spans="1:2" x14ac:dyDescent="0.25">
      <c r="A418" t="s">
        <v>2068</v>
      </c>
      <c r="B418" s="1">
        <v>3191</v>
      </c>
    </row>
    <row r="419" spans="1:2" x14ac:dyDescent="0.25">
      <c r="A419" t="s">
        <v>2072</v>
      </c>
      <c r="B419" s="1">
        <v>1583</v>
      </c>
    </row>
    <row r="420" spans="1:2" x14ac:dyDescent="0.25">
      <c r="A420" t="s">
        <v>2077</v>
      </c>
      <c r="B420" s="1">
        <v>7424</v>
      </c>
    </row>
    <row r="421" spans="1:2" x14ac:dyDescent="0.25">
      <c r="A421" t="s">
        <v>2082</v>
      </c>
      <c r="B421" s="1">
        <v>6100</v>
      </c>
    </row>
    <row r="422" spans="1:2" x14ac:dyDescent="0.25">
      <c r="A422" t="s">
        <v>2087</v>
      </c>
      <c r="B422" s="1">
        <v>6115</v>
      </c>
    </row>
    <row r="423" spans="1:2" x14ac:dyDescent="0.25">
      <c r="A423" t="s">
        <v>2092</v>
      </c>
      <c r="B423" s="1">
        <v>8546</v>
      </c>
    </row>
    <row r="424" spans="1:2" x14ac:dyDescent="0.25">
      <c r="A424" t="s">
        <v>2097</v>
      </c>
      <c r="B424">
        <v>246</v>
      </c>
    </row>
    <row r="425" spans="1:2" x14ac:dyDescent="0.25">
      <c r="A425" t="s">
        <v>2102</v>
      </c>
      <c r="B425" s="1">
        <v>16185</v>
      </c>
    </row>
    <row r="426" spans="1:2" x14ac:dyDescent="0.25">
      <c r="A426" t="s">
        <v>2106</v>
      </c>
      <c r="B426">
        <v>966</v>
      </c>
    </row>
    <row r="427" spans="1:2" x14ac:dyDescent="0.25">
      <c r="A427" t="s">
        <v>2110</v>
      </c>
      <c r="B427" s="1">
        <v>2996</v>
      </c>
    </row>
    <row r="428" spans="1:2" x14ac:dyDescent="0.25">
      <c r="A428" t="s">
        <v>2115</v>
      </c>
      <c r="B428" s="1">
        <v>2985</v>
      </c>
    </row>
    <row r="429" spans="1:2" x14ac:dyDescent="0.25">
      <c r="A429" t="s">
        <v>2120</v>
      </c>
      <c r="B429" s="1">
        <v>270088</v>
      </c>
    </row>
    <row r="430" spans="1:2" x14ac:dyDescent="0.25">
      <c r="A430" t="s">
        <v>2125</v>
      </c>
      <c r="B430">
        <v>425</v>
      </c>
    </row>
    <row r="431" spans="1:2" x14ac:dyDescent="0.25">
      <c r="A431" t="s">
        <v>2130</v>
      </c>
      <c r="B431" s="1">
        <v>104365</v>
      </c>
    </row>
    <row r="432" spans="1:2" x14ac:dyDescent="0.25">
      <c r="A432" t="s">
        <v>2135</v>
      </c>
      <c r="B432" s="1">
        <v>3244</v>
      </c>
    </row>
    <row r="433" spans="1:2" x14ac:dyDescent="0.25">
      <c r="A433" t="s">
        <v>2140</v>
      </c>
      <c r="B433" s="1">
        <v>1326</v>
      </c>
    </row>
    <row r="434" spans="1:2" x14ac:dyDescent="0.25">
      <c r="A434" t="s">
        <v>2145</v>
      </c>
      <c r="B434" s="1">
        <v>111914</v>
      </c>
    </row>
    <row r="435" spans="1:2" x14ac:dyDescent="0.25">
      <c r="A435" t="s">
        <v>2150</v>
      </c>
      <c r="B435" s="1">
        <v>29634</v>
      </c>
    </row>
    <row r="436" spans="1:2" x14ac:dyDescent="0.25">
      <c r="A436" t="s">
        <v>2155</v>
      </c>
      <c r="B436" s="1">
        <v>17983</v>
      </c>
    </row>
    <row r="437" spans="1:2" x14ac:dyDescent="0.25">
      <c r="A437" t="s">
        <v>2159</v>
      </c>
      <c r="B437" s="1">
        <v>38463</v>
      </c>
    </row>
    <row r="438" spans="1:2" x14ac:dyDescent="0.25">
      <c r="A438" t="s">
        <v>2164</v>
      </c>
      <c r="B438" s="1">
        <v>2801</v>
      </c>
    </row>
    <row r="439" spans="1:2" x14ac:dyDescent="0.25">
      <c r="A439" t="s">
        <v>2169</v>
      </c>
      <c r="B439">
        <v>881</v>
      </c>
    </row>
    <row r="440" spans="1:2" x14ac:dyDescent="0.25">
      <c r="A440" t="s">
        <v>2174</v>
      </c>
      <c r="B440" s="1">
        <v>30166</v>
      </c>
    </row>
    <row r="441" spans="1:2" x14ac:dyDescent="0.25">
      <c r="A441" t="s">
        <v>2179</v>
      </c>
      <c r="B441">
        <v>881</v>
      </c>
    </row>
    <row r="442" spans="1:2" x14ac:dyDescent="0.25">
      <c r="A442" t="s">
        <v>2183</v>
      </c>
      <c r="B442">
        <v>210</v>
      </c>
    </row>
    <row r="443" spans="1:2" x14ac:dyDescent="0.25">
      <c r="A443" t="s">
        <v>2188</v>
      </c>
      <c r="B443" s="1">
        <v>4253</v>
      </c>
    </row>
    <row r="444" spans="1:2" x14ac:dyDescent="0.25">
      <c r="A444" t="s">
        <v>2193</v>
      </c>
      <c r="B444" s="1">
        <v>37090</v>
      </c>
    </row>
    <row r="445" spans="1:2" x14ac:dyDescent="0.25">
      <c r="A445" t="s">
        <v>2198</v>
      </c>
      <c r="B445" s="1">
        <v>8035</v>
      </c>
    </row>
    <row r="446" spans="1:2" x14ac:dyDescent="0.25">
      <c r="A446" t="s">
        <v>2201</v>
      </c>
      <c r="B446" s="1">
        <v>1458</v>
      </c>
    </row>
    <row r="447" spans="1:2" x14ac:dyDescent="0.25">
      <c r="A447" t="s">
        <v>2206</v>
      </c>
      <c r="B447" s="1">
        <v>16428</v>
      </c>
    </row>
    <row r="448" spans="1:2" x14ac:dyDescent="0.25">
      <c r="A448" t="s">
        <v>2211</v>
      </c>
      <c r="B448" s="1">
        <v>5442</v>
      </c>
    </row>
    <row r="449" spans="1:2" x14ac:dyDescent="0.25">
      <c r="A449" t="s">
        <v>2216</v>
      </c>
      <c r="B449" s="1">
        <v>11137</v>
      </c>
    </row>
    <row r="450" spans="1:2" x14ac:dyDescent="0.25">
      <c r="A450" t="s">
        <v>2221</v>
      </c>
      <c r="B450" s="1">
        <v>5326</v>
      </c>
    </row>
    <row r="451" spans="1:2" x14ac:dyDescent="0.25">
      <c r="A451" t="s">
        <v>2226</v>
      </c>
      <c r="B451" s="1">
        <v>23946</v>
      </c>
    </row>
    <row r="452" spans="1:2" x14ac:dyDescent="0.25">
      <c r="A452" t="s">
        <v>2231</v>
      </c>
      <c r="B452" s="1">
        <v>1881</v>
      </c>
    </row>
    <row r="453" spans="1:2" x14ac:dyDescent="0.25">
      <c r="A453" t="s">
        <v>2236</v>
      </c>
      <c r="B453" s="1">
        <v>15157</v>
      </c>
    </row>
    <row r="454" spans="1:2" x14ac:dyDescent="0.25">
      <c r="A454" t="s">
        <v>2241</v>
      </c>
      <c r="B454" s="1">
        <v>10038</v>
      </c>
    </row>
    <row r="455" spans="1:2" x14ac:dyDescent="0.25">
      <c r="A455" t="s">
        <v>2246</v>
      </c>
      <c r="B455" s="1">
        <v>2344</v>
      </c>
    </row>
    <row r="456" spans="1:2" x14ac:dyDescent="0.25">
      <c r="A456" t="s">
        <v>2251</v>
      </c>
      <c r="B456" s="1">
        <v>4309</v>
      </c>
    </row>
    <row r="457" spans="1:2" x14ac:dyDescent="0.25">
      <c r="A457" t="s">
        <v>2256</v>
      </c>
      <c r="B457" s="1">
        <v>11660</v>
      </c>
    </row>
    <row r="458" spans="1:2" x14ac:dyDescent="0.25">
      <c r="A458" t="s">
        <v>2261</v>
      </c>
      <c r="B458" s="1">
        <v>68830</v>
      </c>
    </row>
    <row r="459" spans="1:2" x14ac:dyDescent="0.25">
      <c r="A459" t="s">
        <v>2265</v>
      </c>
      <c r="B459" s="1">
        <v>30000</v>
      </c>
    </row>
    <row r="460" spans="1:2" x14ac:dyDescent="0.25">
      <c r="A460" t="s">
        <v>2269</v>
      </c>
      <c r="B460" s="1">
        <v>29808</v>
      </c>
    </row>
    <row r="461" spans="1:2" x14ac:dyDescent="0.25">
      <c r="A461" t="s">
        <v>2274</v>
      </c>
      <c r="B461" s="1">
        <v>3302</v>
      </c>
    </row>
    <row r="462" spans="1:2" x14ac:dyDescent="0.25">
      <c r="A462" t="s">
        <v>2279</v>
      </c>
      <c r="B462" s="1">
        <v>3258</v>
      </c>
    </row>
    <row r="463" spans="1:2" x14ac:dyDescent="0.25">
      <c r="A463" t="s">
        <v>2284</v>
      </c>
      <c r="B463" s="1">
        <v>41144</v>
      </c>
    </row>
    <row r="464" spans="1:2" x14ac:dyDescent="0.25">
      <c r="A464" t="s">
        <v>2289</v>
      </c>
      <c r="B464" s="1">
        <v>1094</v>
      </c>
    </row>
    <row r="465" spans="1:2" x14ac:dyDescent="0.25">
      <c r="A465" t="s">
        <v>2294</v>
      </c>
      <c r="B465" s="1">
        <v>22442</v>
      </c>
    </row>
    <row r="466" spans="1:2" x14ac:dyDescent="0.25">
      <c r="A466" t="s">
        <v>2299</v>
      </c>
      <c r="B466" s="1">
        <v>6248</v>
      </c>
    </row>
    <row r="467" spans="1:2" x14ac:dyDescent="0.25">
      <c r="A467" t="s">
        <v>2304</v>
      </c>
      <c r="B467" s="1">
        <v>8826</v>
      </c>
    </row>
    <row r="468" spans="1:2" x14ac:dyDescent="0.25">
      <c r="A468" t="s">
        <v>2309</v>
      </c>
      <c r="B468" s="1">
        <v>20310</v>
      </c>
    </row>
    <row r="469" spans="1:2" x14ac:dyDescent="0.25">
      <c r="A469" t="s">
        <v>2313</v>
      </c>
      <c r="B469" s="1">
        <v>7378</v>
      </c>
    </row>
    <row r="470" spans="1:2" x14ac:dyDescent="0.25">
      <c r="A470" t="s">
        <v>2318</v>
      </c>
      <c r="B470" s="1">
        <v>15992</v>
      </c>
    </row>
    <row r="471" spans="1:2" x14ac:dyDescent="0.25">
      <c r="A471" t="s">
        <v>2323</v>
      </c>
      <c r="B471" s="1">
        <v>1988</v>
      </c>
    </row>
    <row r="472" spans="1:2" x14ac:dyDescent="0.25">
      <c r="A472" t="s">
        <v>2328</v>
      </c>
      <c r="B472" s="1">
        <v>1422</v>
      </c>
    </row>
    <row r="473" spans="1:2" x14ac:dyDescent="0.25">
      <c r="A473" t="s">
        <v>2333</v>
      </c>
      <c r="B473" s="1">
        <v>11831</v>
      </c>
    </row>
    <row r="474" spans="1:2" x14ac:dyDescent="0.25">
      <c r="A474" t="s">
        <v>2338</v>
      </c>
      <c r="B474" s="1">
        <v>8040</v>
      </c>
    </row>
    <row r="475" spans="1:2" x14ac:dyDescent="0.25">
      <c r="A475" t="s">
        <v>2342</v>
      </c>
      <c r="B475" s="1">
        <v>114935</v>
      </c>
    </row>
    <row r="476" spans="1:2" x14ac:dyDescent="0.25">
      <c r="A476" t="s">
        <v>2347</v>
      </c>
      <c r="B476" s="1">
        <v>2351</v>
      </c>
    </row>
    <row r="477" spans="1:2" x14ac:dyDescent="0.25">
      <c r="A477" t="s">
        <v>2351</v>
      </c>
      <c r="B477" s="1">
        <v>39369</v>
      </c>
    </row>
    <row r="478" spans="1:2" x14ac:dyDescent="0.25">
      <c r="A478" t="s">
        <v>2356</v>
      </c>
      <c r="B478" s="1">
        <v>15746</v>
      </c>
    </row>
    <row r="479" spans="1:2" x14ac:dyDescent="0.25">
      <c r="A479" t="s">
        <v>2361</v>
      </c>
      <c r="B479" s="1">
        <v>7016</v>
      </c>
    </row>
    <row r="480" spans="1:2" x14ac:dyDescent="0.25">
      <c r="A480" t="s">
        <v>2366</v>
      </c>
      <c r="B480" s="1">
        <v>9098</v>
      </c>
    </row>
    <row r="481" spans="1:2" x14ac:dyDescent="0.25">
      <c r="A481" t="s">
        <v>2371</v>
      </c>
      <c r="B481" s="1">
        <v>11331</v>
      </c>
    </row>
    <row r="482" spans="1:2" x14ac:dyDescent="0.25">
      <c r="A482" t="s">
        <v>2375</v>
      </c>
      <c r="B482" s="1">
        <v>24809</v>
      </c>
    </row>
    <row r="483" spans="1:2" x14ac:dyDescent="0.25">
      <c r="A483" t="s">
        <v>2380</v>
      </c>
      <c r="B483" s="1">
        <v>1929</v>
      </c>
    </row>
    <row r="484" spans="1:2" x14ac:dyDescent="0.25">
      <c r="A484" t="s">
        <v>2383</v>
      </c>
      <c r="B484">
        <v>568</v>
      </c>
    </row>
    <row r="485" spans="1:2" x14ac:dyDescent="0.25">
      <c r="A485" t="s">
        <v>2387</v>
      </c>
      <c r="B485" s="1">
        <v>15784</v>
      </c>
    </row>
    <row r="486" spans="1:2" x14ac:dyDescent="0.25">
      <c r="A486" t="s">
        <v>2392</v>
      </c>
      <c r="B486" s="1">
        <v>126654</v>
      </c>
    </row>
    <row r="487" spans="1:2" x14ac:dyDescent="0.25">
      <c r="A487" t="s">
        <v>2396</v>
      </c>
      <c r="B487" s="1">
        <v>8252</v>
      </c>
    </row>
    <row r="488" spans="1:2" x14ac:dyDescent="0.25">
      <c r="A488" t="s">
        <v>2401</v>
      </c>
      <c r="B488" s="1">
        <v>5083</v>
      </c>
    </row>
    <row r="489" spans="1:2" x14ac:dyDescent="0.25">
      <c r="A489" t="s">
        <v>2406</v>
      </c>
      <c r="B489" s="1">
        <v>23239</v>
      </c>
    </row>
    <row r="490" spans="1:2" x14ac:dyDescent="0.25">
      <c r="A490" t="s">
        <v>2410</v>
      </c>
      <c r="B490" s="1">
        <v>2312</v>
      </c>
    </row>
    <row r="491" spans="1:2" x14ac:dyDescent="0.25">
      <c r="A491" t="s">
        <v>2414</v>
      </c>
      <c r="B491" s="1">
        <v>15645</v>
      </c>
    </row>
    <row r="492" spans="1:2" x14ac:dyDescent="0.25">
      <c r="A492" t="s">
        <v>2419</v>
      </c>
      <c r="B492" s="1">
        <v>24768</v>
      </c>
    </row>
    <row r="493" spans="1:2" x14ac:dyDescent="0.25">
      <c r="A493" t="s">
        <v>2424</v>
      </c>
      <c r="B493" s="1">
        <v>30698</v>
      </c>
    </row>
    <row r="494" spans="1:2" x14ac:dyDescent="0.25">
      <c r="A494" t="s">
        <v>2429</v>
      </c>
      <c r="B494" s="1">
        <v>2015</v>
      </c>
    </row>
    <row r="495" spans="1:2" x14ac:dyDescent="0.25">
      <c r="A495" t="s">
        <v>2434</v>
      </c>
      <c r="B495" s="1">
        <v>9697</v>
      </c>
    </row>
    <row r="496" spans="1:2" x14ac:dyDescent="0.25">
      <c r="A496" t="s">
        <v>2437</v>
      </c>
      <c r="B496" s="1">
        <v>4893</v>
      </c>
    </row>
    <row r="497" spans="1:2" x14ac:dyDescent="0.25">
      <c r="A497" t="s">
        <v>2442</v>
      </c>
      <c r="B497" s="1">
        <v>19975</v>
      </c>
    </row>
    <row r="498" spans="1:2" x14ac:dyDescent="0.25">
      <c r="A498" t="s">
        <v>2447</v>
      </c>
      <c r="B498" s="1">
        <v>21326</v>
      </c>
    </row>
    <row r="499" spans="1:2" x14ac:dyDescent="0.25">
      <c r="A499" t="s">
        <v>2452</v>
      </c>
      <c r="B499" s="1">
        <v>183939</v>
      </c>
    </row>
    <row r="500" spans="1:2" x14ac:dyDescent="0.25">
      <c r="A500" t="s">
        <v>2456</v>
      </c>
      <c r="B500" s="1">
        <v>4526</v>
      </c>
    </row>
    <row r="501" spans="1:2" x14ac:dyDescent="0.25">
      <c r="A501" t="s">
        <v>2460</v>
      </c>
      <c r="B501" s="1">
        <v>10551</v>
      </c>
    </row>
    <row r="502" spans="1:2" x14ac:dyDescent="0.25">
      <c r="A502" t="s">
        <v>2465</v>
      </c>
      <c r="B502" s="1">
        <v>19255</v>
      </c>
    </row>
    <row r="503" spans="1:2" x14ac:dyDescent="0.25">
      <c r="A503" t="s">
        <v>2470</v>
      </c>
      <c r="B503" s="1">
        <v>35162</v>
      </c>
    </row>
    <row r="504" spans="1:2" x14ac:dyDescent="0.25">
      <c r="A504" t="s">
        <v>2475</v>
      </c>
      <c r="B504" s="1">
        <v>104499</v>
      </c>
    </row>
    <row r="505" spans="1:2" x14ac:dyDescent="0.25">
      <c r="A505" t="s">
        <v>2479</v>
      </c>
      <c r="B505" s="1">
        <v>48579</v>
      </c>
    </row>
    <row r="506" spans="1:2" x14ac:dyDescent="0.25">
      <c r="A506" t="s">
        <v>2483</v>
      </c>
      <c r="B506">
        <v>901</v>
      </c>
    </row>
    <row r="507" spans="1:2" x14ac:dyDescent="0.25">
      <c r="A507" t="s">
        <v>2488</v>
      </c>
      <c r="B507" s="1">
        <v>41323</v>
      </c>
    </row>
    <row r="508" spans="1:2" x14ac:dyDescent="0.25">
      <c r="A508" t="s">
        <v>2492</v>
      </c>
      <c r="B508" s="1">
        <v>7964</v>
      </c>
    </row>
    <row r="509" spans="1:2" x14ac:dyDescent="0.25">
      <c r="A509" t="s">
        <v>2497</v>
      </c>
      <c r="B509" s="1">
        <v>84527</v>
      </c>
    </row>
    <row r="510" spans="1:2" x14ac:dyDescent="0.25">
      <c r="A510" t="s">
        <v>2502</v>
      </c>
      <c r="B510" s="1">
        <v>40024</v>
      </c>
    </row>
    <row r="511" spans="1:2" x14ac:dyDescent="0.25">
      <c r="A511" t="s">
        <v>2507</v>
      </c>
      <c r="B511" s="1">
        <v>9028</v>
      </c>
    </row>
    <row r="512" spans="1:2" x14ac:dyDescent="0.25">
      <c r="A512" t="s">
        <v>2512</v>
      </c>
      <c r="B512" s="1">
        <v>6631</v>
      </c>
    </row>
    <row r="513" spans="1:2" x14ac:dyDescent="0.25">
      <c r="A513" t="s">
        <v>2517</v>
      </c>
      <c r="B513" s="1">
        <v>1625</v>
      </c>
    </row>
    <row r="514" spans="1:2" x14ac:dyDescent="0.25">
      <c r="A514" t="s">
        <v>2522</v>
      </c>
      <c r="B514" s="1">
        <v>121875</v>
      </c>
    </row>
    <row r="515" spans="1:2" x14ac:dyDescent="0.25">
      <c r="A515" t="s">
        <v>2526</v>
      </c>
      <c r="B515" s="1">
        <v>6565</v>
      </c>
    </row>
    <row r="516" spans="1:2" x14ac:dyDescent="0.25">
      <c r="A516" t="s">
        <v>2531</v>
      </c>
      <c r="B516" s="1">
        <v>15455</v>
      </c>
    </row>
    <row r="517" spans="1:2" x14ac:dyDescent="0.25">
      <c r="A517" t="s">
        <v>2536</v>
      </c>
      <c r="B517" s="1">
        <v>29873</v>
      </c>
    </row>
    <row r="518" spans="1:2" x14ac:dyDescent="0.25">
      <c r="A518" t="s">
        <v>2541</v>
      </c>
      <c r="B518" s="1">
        <v>181294</v>
      </c>
    </row>
    <row r="519" spans="1:2" x14ac:dyDescent="0.25">
      <c r="A519" t="s">
        <v>2546</v>
      </c>
      <c r="B519" s="1">
        <v>2663</v>
      </c>
    </row>
    <row r="520" spans="1:2" x14ac:dyDescent="0.25">
      <c r="A520" t="s">
        <v>2551</v>
      </c>
      <c r="B520" s="1">
        <v>2113</v>
      </c>
    </row>
    <row r="521" spans="1:2" x14ac:dyDescent="0.25">
      <c r="A521" t="s">
        <v>2556</v>
      </c>
      <c r="B521" s="1">
        <v>1516</v>
      </c>
    </row>
    <row r="522" spans="1:2" x14ac:dyDescent="0.25">
      <c r="A522" t="s">
        <v>2561</v>
      </c>
      <c r="B522" s="1">
        <v>86681</v>
      </c>
    </row>
    <row r="523" spans="1:2" x14ac:dyDescent="0.25">
      <c r="A523" t="s">
        <v>2565</v>
      </c>
      <c r="B523" s="1">
        <v>10291</v>
      </c>
    </row>
    <row r="524" spans="1:2" x14ac:dyDescent="0.25">
      <c r="A524" t="s">
        <v>2570</v>
      </c>
      <c r="B524" s="1">
        <v>1411</v>
      </c>
    </row>
    <row r="525" spans="1:2" x14ac:dyDescent="0.25">
      <c r="A525" t="s">
        <v>2575</v>
      </c>
      <c r="B525" s="1">
        <v>38858</v>
      </c>
    </row>
    <row r="526" spans="1:2" x14ac:dyDescent="0.25">
      <c r="A526" t="s">
        <v>2580</v>
      </c>
      <c r="B526" s="1">
        <v>28900</v>
      </c>
    </row>
    <row r="527" spans="1:2" x14ac:dyDescent="0.25">
      <c r="A527" t="s">
        <v>2585</v>
      </c>
      <c r="B527" s="1">
        <v>211418</v>
      </c>
    </row>
    <row r="528" spans="1:2" x14ac:dyDescent="0.25">
      <c r="A528" t="s">
        <v>2590</v>
      </c>
      <c r="B528" s="1">
        <v>48943</v>
      </c>
    </row>
    <row r="529" spans="1:2" x14ac:dyDescent="0.25">
      <c r="A529" t="s">
        <v>2595</v>
      </c>
      <c r="B529" s="1">
        <v>11243</v>
      </c>
    </row>
    <row r="530" spans="1:2" x14ac:dyDescent="0.25">
      <c r="A530" t="s">
        <v>2600</v>
      </c>
      <c r="B530" s="1">
        <v>4833</v>
      </c>
    </row>
    <row r="531" spans="1:2" x14ac:dyDescent="0.25">
      <c r="A531" t="s">
        <v>2605</v>
      </c>
      <c r="B531" s="1">
        <v>1388</v>
      </c>
    </row>
    <row r="532" spans="1:2" x14ac:dyDescent="0.25">
      <c r="A532" t="s">
        <v>2610</v>
      </c>
      <c r="B532" s="1">
        <v>10503</v>
      </c>
    </row>
    <row r="533" spans="1:2" x14ac:dyDescent="0.25">
      <c r="A533" t="s">
        <v>2615</v>
      </c>
      <c r="B533" s="1">
        <v>105625</v>
      </c>
    </row>
    <row r="534" spans="1:2" x14ac:dyDescent="0.25">
      <c r="A534" t="s">
        <v>2620</v>
      </c>
      <c r="B534" s="1">
        <v>52814</v>
      </c>
    </row>
    <row r="535" spans="1:2" x14ac:dyDescent="0.25">
      <c r="A535" t="s">
        <v>2624</v>
      </c>
      <c r="B535" s="1">
        <v>2270</v>
      </c>
    </row>
    <row r="536" spans="1:2" x14ac:dyDescent="0.25">
      <c r="A536" t="s">
        <v>2629</v>
      </c>
      <c r="B536" s="1">
        <v>8231</v>
      </c>
    </row>
    <row r="537" spans="1:2" x14ac:dyDescent="0.25">
      <c r="A537" t="s">
        <v>2634</v>
      </c>
      <c r="B537">
        <v>214</v>
      </c>
    </row>
    <row r="538" spans="1:2" x14ac:dyDescent="0.25">
      <c r="A538" t="s">
        <v>2638</v>
      </c>
      <c r="B538" s="1">
        <v>1605</v>
      </c>
    </row>
    <row r="539" spans="1:2" x14ac:dyDescent="0.25">
      <c r="A539" t="s">
        <v>2643</v>
      </c>
      <c r="B539">
        <v>195</v>
      </c>
    </row>
    <row r="540" spans="1:2" x14ac:dyDescent="0.25">
      <c r="A540" t="s">
        <v>2648</v>
      </c>
      <c r="B540" s="1">
        <v>14767</v>
      </c>
    </row>
    <row r="541" spans="1:2" x14ac:dyDescent="0.25">
      <c r="A541" t="s">
        <v>2653</v>
      </c>
      <c r="B541" s="1">
        <v>20095</v>
      </c>
    </row>
    <row r="542" spans="1:2" x14ac:dyDescent="0.25">
      <c r="A542" t="s">
        <v>2657</v>
      </c>
      <c r="B542" s="1">
        <v>9435</v>
      </c>
    </row>
    <row r="543" spans="1:2" x14ac:dyDescent="0.25">
      <c r="A543" t="s">
        <v>2662</v>
      </c>
      <c r="B543" s="1">
        <v>14188</v>
      </c>
    </row>
    <row r="544" spans="1:2" x14ac:dyDescent="0.25">
      <c r="A544" t="s">
        <v>2667</v>
      </c>
      <c r="B544" s="1">
        <v>18726</v>
      </c>
    </row>
    <row r="545" spans="1:2" x14ac:dyDescent="0.25">
      <c r="A545" t="s">
        <v>2672</v>
      </c>
      <c r="B545" s="1">
        <v>3769</v>
      </c>
    </row>
    <row r="546" spans="1:2" x14ac:dyDescent="0.25">
      <c r="A546" t="s">
        <v>2677</v>
      </c>
      <c r="B546" s="1">
        <v>9416</v>
      </c>
    </row>
    <row r="547" spans="1:2" x14ac:dyDescent="0.25">
      <c r="A547" t="s">
        <v>2682</v>
      </c>
      <c r="B547" s="1">
        <v>1423</v>
      </c>
    </row>
    <row r="548" spans="1:2" x14ac:dyDescent="0.25">
      <c r="A548" t="s">
        <v>2687</v>
      </c>
      <c r="B548" s="1">
        <v>1887</v>
      </c>
    </row>
    <row r="549" spans="1:2" x14ac:dyDescent="0.25">
      <c r="A549" t="s">
        <v>2691</v>
      </c>
      <c r="B549" s="1">
        <v>10715</v>
      </c>
    </row>
    <row r="550" spans="1:2" x14ac:dyDescent="0.25">
      <c r="A550" t="s">
        <v>2696</v>
      </c>
      <c r="B550" s="1">
        <v>5207</v>
      </c>
    </row>
    <row r="551" spans="1:2" x14ac:dyDescent="0.25">
      <c r="A551" t="s">
        <v>2701</v>
      </c>
      <c r="B551" s="1">
        <v>4409</v>
      </c>
    </row>
    <row r="552" spans="1:2" x14ac:dyDescent="0.25">
      <c r="A552" t="s">
        <v>2706</v>
      </c>
      <c r="B552" s="1">
        <v>2739</v>
      </c>
    </row>
    <row r="553" spans="1:2" x14ac:dyDescent="0.25">
      <c r="A553" t="s">
        <v>2711</v>
      </c>
      <c r="B553" s="1">
        <v>4635</v>
      </c>
    </row>
    <row r="554" spans="1:2" x14ac:dyDescent="0.25">
      <c r="A554" t="s">
        <v>2716</v>
      </c>
      <c r="B554" s="1">
        <v>1005</v>
      </c>
    </row>
    <row r="555" spans="1:2" x14ac:dyDescent="0.25">
      <c r="A555" t="s">
        <v>2721</v>
      </c>
      <c r="B555" s="1">
        <v>18371</v>
      </c>
    </row>
    <row r="556" spans="1:2" x14ac:dyDescent="0.25">
      <c r="A556" t="s">
        <v>2726</v>
      </c>
      <c r="B556" s="1">
        <v>5811</v>
      </c>
    </row>
    <row r="557" spans="1:2" x14ac:dyDescent="0.25">
      <c r="A557" t="s">
        <v>2731</v>
      </c>
      <c r="B557" s="1">
        <v>17853</v>
      </c>
    </row>
    <row r="558" spans="1:2" x14ac:dyDescent="0.25">
      <c r="A558" t="s">
        <v>2736</v>
      </c>
      <c r="B558" s="1">
        <v>6844</v>
      </c>
    </row>
    <row r="559" spans="1:2" x14ac:dyDescent="0.25">
      <c r="A559" t="s">
        <v>2741</v>
      </c>
      <c r="B559" s="1">
        <v>2355</v>
      </c>
    </row>
    <row r="560" spans="1:2" x14ac:dyDescent="0.25">
      <c r="A560" t="s">
        <v>2745</v>
      </c>
      <c r="B560">
        <v>172</v>
      </c>
    </row>
    <row r="561" spans="1:2" x14ac:dyDescent="0.25">
      <c r="A561" t="s">
        <v>2750</v>
      </c>
      <c r="B561" s="1">
        <v>56725</v>
      </c>
    </row>
    <row r="562" spans="1:2" x14ac:dyDescent="0.25">
      <c r="A562" t="s">
        <v>2755</v>
      </c>
      <c r="B562" s="1">
        <v>3088</v>
      </c>
    </row>
    <row r="563" spans="1:2" x14ac:dyDescent="0.25">
      <c r="A563" t="s">
        <v>2760</v>
      </c>
      <c r="B563" s="1">
        <v>73215</v>
      </c>
    </row>
    <row r="564" spans="1:2" x14ac:dyDescent="0.25">
      <c r="A564" t="s">
        <v>2764</v>
      </c>
      <c r="B564" s="1">
        <v>48617</v>
      </c>
    </row>
    <row r="565" spans="1:2" x14ac:dyDescent="0.25">
      <c r="A565" t="s">
        <v>2768</v>
      </c>
      <c r="B565" s="1">
        <v>9096</v>
      </c>
    </row>
    <row r="566" spans="1:2" x14ac:dyDescent="0.25">
      <c r="A566" t="s">
        <v>2773</v>
      </c>
      <c r="B566" s="1">
        <v>65620</v>
      </c>
    </row>
    <row r="567" spans="1:2" x14ac:dyDescent="0.25">
      <c r="A567" t="s">
        <v>2778</v>
      </c>
      <c r="B567" s="1">
        <v>45254</v>
      </c>
    </row>
    <row r="568" spans="1:2" x14ac:dyDescent="0.25">
      <c r="A568" t="s">
        <v>2783</v>
      </c>
      <c r="B568">
        <v>87</v>
      </c>
    </row>
    <row r="569" spans="1:2" x14ac:dyDescent="0.25">
      <c r="A569" t="s">
        <v>2788</v>
      </c>
      <c r="B569" s="1">
        <v>5166</v>
      </c>
    </row>
    <row r="570" spans="1:2" x14ac:dyDescent="0.25">
      <c r="A570" t="s">
        <v>2793</v>
      </c>
      <c r="B570" s="1">
        <v>2226</v>
      </c>
    </row>
    <row r="571" spans="1:2" x14ac:dyDescent="0.25">
      <c r="A571" t="s">
        <v>2798</v>
      </c>
      <c r="B571">
        <v>232</v>
      </c>
    </row>
    <row r="572" spans="1:2" x14ac:dyDescent="0.25">
      <c r="A572" t="s">
        <v>2803</v>
      </c>
      <c r="B572" s="1">
        <v>3387</v>
      </c>
    </row>
    <row r="573" spans="1:2" x14ac:dyDescent="0.25">
      <c r="A573" t="s">
        <v>2808</v>
      </c>
      <c r="B573" s="1">
        <v>62046</v>
      </c>
    </row>
    <row r="574" spans="1:2" x14ac:dyDescent="0.25">
      <c r="A574" t="s">
        <v>2812</v>
      </c>
      <c r="B574" s="1">
        <v>6023</v>
      </c>
    </row>
    <row r="575" spans="1:2" x14ac:dyDescent="0.25">
      <c r="A575" t="s">
        <v>2815</v>
      </c>
      <c r="B575" s="1">
        <v>4183</v>
      </c>
    </row>
    <row r="576" spans="1:2" x14ac:dyDescent="0.25">
      <c r="A576" t="s">
        <v>2820</v>
      </c>
      <c r="B576" s="1">
        <v>22764</v>
      </c>
    </row>
    <row r="577" spans="1:2" x14ac:dyDescent="0.25">
      <c r="A577" t="s">
        <v>2825</v>
      </c>
      <c r="B577" s="1">
        <v>69672</v>
      </c>
    </row>
    <row r="578" spans="1:2" x14ac:dyDescent="0.25">
      <c r="A578" t="s">
        <v>2829</v>
      </c>
      <c r="B578" s="1">
        <v>119762</v>
      </c>
    </row>
    <row r="579" spans="1:2" x14ac:dyDescent="0.25">
      <c r="A579" t="s">
        <v>2834</v>
      </c>
      <c r="B579" s="1">
        <v>4552</v>
      </c>
    </row>
    <row r="580" spans="1:2" x14ac:dyDescent="0.25">
      <c r="A580" t="s">
        <v>2839</v>
      </c>
      <c r="B580" s="1">
        <v>1133</v>
      </c>
    </row>
    <row r="581" spans="1:2" x14ac:dyDescent="0.25">
      <c r="A581" t="s">
        <v>2844</v>
      </c>
      <c r="B581" s="1">
        <v>28958</v>
      </c>
    </row>
    <row r="582" spans="1:2" x14ac:dyDescent="0.25">
      <c r="A582" t="s">
        <v>2849</v>
      </c>
      <c r="B582">
        <v>432</v>
      </c>
    </row>
    <row r="583" spans="1:2" x14ac:dyDescent="0.25">
      <c r="A583" t="s">
        <v>2854</v>
      </c>
      <c r="B583" s="1">
        <v>57921</v>
      </c>
    </row>
    <row r="584" spans="1:2" x14ac:dyDescent="0.25">
      <c r="A584" t="s">
        <v>2858</v>
      </c>
      <c r="B584" s="1">
        <v>6705</v>
      </c>
    </row>
    <row r="585" spans="1:2" x14ac:dyDescent="0.25">
      <c r="A585" t="s">
        <v>2863</v>
      </c>
      <c r="B585">
        <v>889</v>
      </c>
    </row>
    <row r="586" spans="1:2" x14ac:dyDescent="0.25">
      <c r="A586" t="s">
        <v>2868</v>
      </c>
      <c r="B586" s="1">
        <v>2080</v>
      </c>
    </row>
    <row r="587" spans="1:2" x14ac:dyDescent="0.25">
      <c r="A587" t="s">
        <v>2873</v>
      </c>
      <c r="B587" s="1">
        <v>12964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</vt:lpstr>
      <vt:lpstr>category+languages</vt:lpstr>
      <vt:lpstr>languages</vt:lpstr>
      <vt:lpstr>by time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2021-12-09T02:07:36Z</dcterms:created>
  <dcterms:modified xsi:type="dcterms:W3CDTF">2021-12-13T00:35:43Z</dcterms:modified>
</cp:coreProperties>
</file>