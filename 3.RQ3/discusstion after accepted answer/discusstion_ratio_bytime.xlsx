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hryy\Desktop\somlstudy\3.RQ3\discusstion time\"/>
    </mc:Choice>
  </mc:AlternateContent>
  <xr:revisionPtr revIDLastSave="0" documentId="13_ncr:1_{102C89E0-50E5-4088-8000-1FC9C75F6B3A}" xr6:coauthVersionLast="47" xr6:coauthVersionMax="47" xr10:uidLastSave="{00000000-0000-0000-0000-000000000000}"/>
  <bookViews>
    <workbookView xWindow="28680" yWindow="-105" windowWidth="29040" windowHeight="15840" activeTab="2" xr2:uid="{00000000-000D-0000-FFFF-FFFF00000000}"/>
  </bookViews>
  <sheets>
    <sheet name="number of discussion" sheetId="1" r:id="rId1"/>
    <sheet name="frequency of discussion" sheetId="2" r:id="rId2"/>
    <sheet name="no discussion rate over time" sheetId="3" r:id="rId3"/>
  </sheets>
  <definedNames>
    <definedName name="_xlchart.v1.0" hidden="1">'number of discussion'!$D$1</definedName>
    <definedName name="_xlchart.v1.1" hidden="1">'number of discussion'!$D$2:$D$423</definedName>
    <definedName name="_xlchart.v1.10" hidden="1">'frequency of discussion'!$J$1</definedName>
    <definedName name="_xlchart.v1.11" hidden="1">'frequency of discussion'!$J$2:$J$423</definedName>
    <definedName name="_xlchart.v1.2" hidden="1">'number of discussion'!$E$1</definedName>
    <definedName name="_xlchart.v1.3" hidden="1">'number of discussion'!$E$2:$E$423</definedName>
    <definedName name="_xlchart.v1.4" hidden="1">'number of discussion'!$F$1</definedName>
    <definedName name="_xlchart.v1.5" hidden="1">'number of discussion'!$F$2:$F$423</definedName>
    <definedName name="_xlchart.v1.6" hidden="1">'frequency of discussion'!$H$1</definedName>
    <definedName name="_xlchart.v1.7" hidden="1">'frequency of discussion'!$H$2:$H$423</definedName>
    <definedName name="_xlchart.v1.8" hidden="1">'frequency of discussion'!$I$1</definedName>
    <definedName name="_xlchart.v1.9" hidden="1">'frequency of discussion'!$I$2:$I$423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3" l="1"/>
  <c r="R4" i="3"/>
  <c r="Q4" i="3"/>
  <c r="P4" i="3"/>
  <c r="O4" i="3"/>
  <c r="N4" i="3"/>
  <c r="M4" i="3"/>
  <c r="R3" i="3"/>
  <c r="Q3" i="3"/>
  <c r="O3" i="3"/>
  <c r="P3" i="3"/>
  <c r="N3" i="3"/>
  <c r="M3" i="3"/>
  <c r="R2" i="3"/>
  <c r="Q2" i="3"/>
  <c r="P2" i="3"/>
  <c r="O2" i="3"/>
  <c r="N2" i="3"/>
  <c r="J382" i="3"/>
  <c r="I382" i="3"/>
  <c r="H382" i="3"/>
  <c r="J381" i="3"/>
  <c r="I381" i="3"/>
  <c r="H381" i="3"/>
  <c r="J380" i="3"/>
  <c r="I380" i="3"/>
  <c r="H380" i="3"/>
  <c r="J379" i="3"/>
  <c r="I379" i="3"/>
  <c r="H379" i="3"/>
  <c r="J378" i="3"/>
  <c r="I378" i="3"/>
  <c r="H378" i="3"/>
  <c r="J377" i="3"/>
  <c r="I377" i="3"/>
  <c r="H377" i="3"/>
  <c r="J376" i="3"/>
  <c r="I376" i="3"/>
  <c r="H376" i="3"/>
  <c r="J375" i="3"/>
  <c r="I375" i="3"/>
  <c r="H375" i="3"/>
  <c r="J374" i="3"/>
  <c r="I374" i="3"/>
  <c r="H374" i="3"/>
  <c r="J373" i="3"/>
  <c r="I373" i="3"/>
  <c r="H373" i="3"/>
  <c r="J372" i="3"/>
  <c r="I372" i="3"/>
  <c r="H372" i="3"/>
  <c r="J371" i="3"/>
  <c r="I371" i="3"/>
  <c r="H371" i="3"/>
  <c r="J370" i="3"/>
  <c r="I370" i="3"/>
  <c r="H370" i="3"/>
  <c r="J369" i="3"/>
  <c r="I369" i="3"/>
  <c r="H369" i="3"/>
  <c r="J368" i="3"/>
  <c r="I368" i="3"/>
  <c r="H368" i="3"/>
  <c r="J367" i="3"/>
  <c r="I367" i="3"/>
  <c r="H367" i="3"/>
  <c r="J366" i="3"/>
  <c r="I366" i="3"/>
  <c r="H366" i="3"/>
  <c r="J365" i="3"/>
  <c r="I365" i="3"/>
  <c r="H365" i="3"/>
  <c r="J364" i="3"/>
  <c r="I364" i="3"/>
  <c r="H364" i="3"/>
  <c r="J363" i="3"/>
  <c r="I363" i="3"/>
  <c r="H363" i="3"/>
  <c r="J362" i="3"/>
  <c r="I362" i="3"/>
  <c r="H362" i="3"/>
  <c r="J361" i="3"/>
  <c r="I361" i="3"/>
  <c r="H361" i="3"/>
  <c r="J360" i="3"/>
  <c r="I360" i="3"/>
  <c r="H360" i="3"/>
  <c r="J359" i="3"/>
  <c r="I359" i="3"/>
  <c r="H359" i="3"/>
  <c r="J358" i="3"/>
  <c r="I358" i="3"/>
  <c r="H358" i="3"/>
  <c r="J357" i="3"/>
  <c r="I357" i="3"/>
  <c r="H357" i="3"/>
  <c r="J356" i="3"/>
  <c r="I356" i="3"/>
  <c r="H356" i="3"/>
  <c r="J355" i="3"/>
  <c r="I355" i="3"/>
  <c r="H355" i="3"/>
  <c r="J354" i="3"/>
  <c r="I354" i="3"/>
  <c r="H354" i="3"/>
  <c r="J353" i="3"/>
  <c r="I353" i="3"/>
  <c r="H353" i="3"/>
  <c r="J352" i="3"/>
  <c r="I352" i="3"/>
  <c r="H352" i="3"/>
  <c r="J351" i="3"/>
  <c r="I351" i="3"/>
  <c r="H351" i="3"/>
  <c r="J350" i="3"/>
  <c r="I350" i="3"/>
  <c r="H350" i="3"/>
  <c r="J349" i="3"/>
  <c r="I349" i="3"/>
  <c r="H349" i="3"/>
  <c r="J347" i="3"/>
  <c r="I347" i="3"/>
  <c r="H347" i="3"/>
  <c r="J348" i="3"/>
  <c r="I348" i="3"/>
  <c r="H348" i="3"/>
  <c r="J346" i="3"/>
  <c r="I346" i="3"/>
  <c r="H346" i="3"/>
  <c r="J345" i="3"/>
  <c r="I345" i="3"/>
  <c r="H345" i="3"/>
  <c r="J344" i="3"/>
  <c r="I344" i="3"/>
  <c r="H344" i="3"/>
  <c r="J343" i="3"/>
  <c r="I343" i="3"/>
  <c r="H343" i="3"/>
  <c r="J342" i="3"/>
  <c r="I342" i="3"/>
  <c r="H342" i="3"/>
  <c r="J341" i="3"/>
  <c r="I341" i="3"/>
  <c r="H341" i="3"/>
  <c r="J340" i="3"/>
  <c r="I340" i="3"/>
  <c r="H340" i="3"/>
  <c r="J339" i="3"/>
  <c r="I339" i="3"/>
  <c r="H339" i="3"/>
  <c r="J338" i="3"/>
  <c r="I338" i="3"/>
  <c r="H338" i="3"/>
  <c r="J337" i="3"/>
  <c r="I337" i="3"/>
  <c r="H337" i="3"/>
  <c r="J336" i="3"/>
  <c r="I336" i="3"/>
  <c r="H336" i="3"/>
  <c r="J335" i="3"/>
  <c r="I335" i="3"/>
  <c r="H335" i="3"/>
  <c r="J334" i="3"/>
  <c r="I334" i="3"/>
  <c r="H334" i="3"/>
  <c r="J333" i="3"/>
  <c r="I333" i="3"/>
  <c r="H333" i="3"/>
  <c r="J332" i="3"/>
  <c r="I332" i="3"/>
  <c r="H332" i="3"/>
  <c r="J331" i="3"/>
  <c r="I331" i="3"/>
  <c r="H331" i="3"/>
  <c r="J330" i="3"/>
  <c r="I330" i="3"/>
  <c r="H330" i="3"/>
  <c r="J329" i="3"/>
  <c r="I329" i="3"/>
  <c r="H329" i="3"/>
  <c r="J328" i="3"/>
  <c r="I328" i="3"/>
  <c r="H328" i="3"/>
  <c r="J327" i="3"/>
  <c r="I327" i="3"/>
  <c r="H327" i="3"/>
  <c r="J326" i="3"/>
  <c r="I326" i="3"/>
  <c r="H326" i="3"/>
  <c r="J325" i="3"/>
  <c r="I325" i="3"/>
  <c r="H325" i="3"/>
  <c r="J324" i="3"/>
  <c r="I324" i="3"/>
  <c r="H324" i="3"/>
  <c r="J323" i="3"/>
  <c r="I323" i="3"/>
  <c r="H323" i="3"/>
  <c r="J322" i="3"/>
  <c r="I322" i="3"/>
  <c r="H322" i="3"/>
  <c r="J321" i="3"/>
  <c r="I321" i="3"/>
  <c r="H321" i="3"/>
  <c r="J320" i="3"/>
  <c r="I320" i="3"/>
  <c r="H320" i="3"/>
  <c r="J319" i="3"/>
  <c r="I319" i="3"/>
  <c r="H319" i="3"/>
  <c r="J318" i="3"/>
  <c r="I318" i="3"/>
  <c r="H318" i="3"/>
  <c r="J317" i="3"/>
  <c r="I317" i="3"/>
  <c r="H317" i="3"/>
  <c r="J316" i="3"/>
  <c r="I316" i="3"/>
  <c r="H316" i="3"/>
  <c r="J315" i="3"/>
  <c r="I315" i="3"/>
  <c r="H315" i="3"/>
  <c r="J314" i="3"/>
  <c r="I314" i="3"/>
  <c r="H314" i="3"/>
  <c r="J313" i="3"/>
  <c r="I313" i="3"/>
  <c r="H313" i="3"/>
  <c r="J312" i="3"/>
  <c r="I312" i="3"/>
  <c r="H312" i="3"/>
  <c r="J311" i="3"/>
  <c r="I311" i="3"/>
  <c r="H311" i="3"/>
  <c r="J310" i="3"/>
  <c r="I310" i="3"/>
  <c r="H310" i="3"/>
  <c r="J309" i="3"/>
  <c r="I309" i="3"/>
  <c r="H309" i="3"/>
  <c r="J307" i="3"/>
  <c r="I307" i="3"/>
  <c r="H307" i="3"/>
  <c r="J308" i="3"/>
  <c r="I308" i="3"/>
  <c r="H308" i="3"/>
  <c r="J306" i="3"/>
  <c r="I306" i="3"/>
  <c r="H306" i="3"/>
  <c r="J305" i="3"/>
  <c r="I305" i="3"/>
  <c r="H305" i="3"/>
  <c r="J304" i="3"/>
  <c r="I304" i="3"/>
  <c r="H304" i="3"/>
  <c r="J303" i="3"/>
  <c r="I303" i="3"/>
  <c r="H303" i="3"/>
  <c r="J302" i="3"/>
  <c r="I302" i="3"/>
  <c r="H302" i="3"/>
  <c r="J301" i="3"/>
  <c r="I301" i="3"/>
  <c r="H301" i="3"/>
  <c r="J300" i="3"/>
  <c r="I300" i="3"/>
  <c r="H300" i="3"/>
  <c r="J299" i="3"/>
  <c r="I299" i="3"/>
  <c r="H299" i="3"/>
  <c r="J298" i="3"/>
  <c r="I298" i="3"/>
  <c r="H298" i="3"/>
  <c r="J297" i="3"/>
  <c r="I297" i="3"/>
  <c r="H297" i="3"/>
  <c r="J296" i="3"/>
  <c r="I296" i="3"/>
  <c r="H296" i="3"/>
  <c r="J295" i="3"/>
  <c r="I295" i="3"/>
  <c r="H295" i="3"/>
  <c r="J294" i="3"/>
  <c r="I294" i="3"/>
  <c r="H294" i="3"/>
  <c r="J293" i="3"/>
  <c r="I293" i="3"/>
  <c r="H293" i="3"/>
  <c r="J292" i="3"/>
  <c r="I292" i="3"/>
  <c r="H292" i="3"/>
  <c r="J291" i="3"/>
  <c r="I291" i="3"/>
  <c r="H291" i="3"/>
  <c r="J290" i="3"/>
  <c r="I290" i="3"/>
  <c r="H290" i="3"/>
  <c r="J289" i="3"/>
  <c r="I289" i="3"/>
  <c r="H289" i="3"/>
  <c r="J288" i="3"/>
  <c r="I288" i="3"/>
  <c r="H288" i="3"/>
  <c r="J287" i="3"/>
  <c r="I287" i="3"/>
  <c r="H287" i="3"/>
  <c r="J286" i="3"/>
  <c r="I286" i="3"/>
  <c r="H286" i="3"/>
  <c r="J285" i="3"/>
  <c r="I285" i="3"/>
  <c r="H285" i="3"/>
  <c r="J284" i="3"/>
  <c r="I284" i="3"/>
  <c r="H284" i="3"/>
  <c r="J283" i="3"/>
  <c r="I283" i="3"/>
  <c r="H283" i="3"/>
  <c r="J282" i="3"/>
  <c r="I282" i="3"/>
  <c r="H282" i="3"/>
  <c r="J281" i="3"/>
  <c r="I281" i="3"/>
  <c r="H281" i="3"/>
  <c r="J280" i="3"/>
  <c r="I280" i="3"/>
  <c r="H280" i="3"/>
  <c r="J279" i="3"/>
  <c r="I279" i="3"/>
  <c r="H279" i="3"/>
  <c r="J278" i="3"/>
  <c r="I278" i="3"/>
  <c r="H278" i="3"/>
  <c r="J277" i="3"/>
  <c r="I277" i="3"/>
  <c r="H277" i="3"/>
  <c r="J276" i="3"/>
  <c r="I276" i="3"/>
  <c r="H276" i="3"/>
  <c r="J275" i="3"/>
  <c r="I275" i="3"/>
  <c r="H275" i="3"/>
  <c r="J274" i="3"/>
  <c r="I274" i="3"/>
  <c r="H274" i="3"/>
  <c r="J273" i="3"/>
  <c r="I273" i="3"/>
  <c r="H273" i="3"/>
  <c r="J272" i="3"/>
  <c r="I272" i="3"/>
  <c r="H272" i="3"/>
  <c r="J271" i="3"/>
  <c r="I271" i="3"/>
  <c r="H271" i="3"/>
  <c r="J270" i="3"/>
  <c r="I270" i="3"/>
  <c r="H270" i="3"/>
  <c r="J269" i="3"/>
  <c r="I269" i="3"/>
  <c r="H269" i="3"/>
  <c r="J267" i="3"/>
  <c r="I267" i="3"/>
  <c r="H267" i="3"/>
  <c r="J268" i="3"/>
  <c r="I268" i="3"/>
  <c r="H268" i="3"/>
  <c r="J266" i="3"/>
  <c r="I266" i="3"/>
  <c r="H266" i="3"/>
  <c r="J265" i="3"/>
  <c r="I265" i="3"/>
  <c r="H265" i="3"/>
  <c r="J264" i="3"/>
  <c r="I264" i="3"/>
  <c r="H264" i="3"/>
  <c r="J263" i="3"/>
  <c r="I263" i="3"/>
  <c r="H263" i="3"/>
  <c r="J262" i="3"/>
  <c r="I262" i="3"/>
  <c r="H262" i="3"/>
  <c r="J261" i="3"/>
  <c r="I261" i="3"/>
  <c r="H261" i="3"/>
  <c r="J260" i="3"/>
  <c r="I260" i="3"/>
  <c r="H260" i="3"/>
  <c r="J259" i="3"/>
  <c r="I259" i="3"/>
  <c r="H259" i="3"/>
  <c r="J258" i="3"/>
  <c r="I258" i="3"/>
  <c r="H258" i="3"/>
  <c r="J257" i="3"/>
  <c r="I257" i="3"/>
  <c r="H257" i="3"/>
  <c r="J256" i="3"/>
  <c r="I256" i="3"/>
  <c r="H256" i="3"/>
  <c r="J255" i="3"/>
  <c r="I255" i="3"/>
  <c r="H255" i="3"/>
  <c r="J254" i="3"/>
  <c r="I254" i="3"/>
  <c r="H254" i="3"/>
  <c r="J253" i="3"/>
  <c r="I253" i="3"/>
  <c r="H253" i="3"/>
  <c r="J252" i="3"/>
  <c r="I252" i="3"/>
  <c r="H252" i="3"/>
  <c r="J251" i="3"/>
  <c r="I251" i="3"/>
  <c r="H251" i="3"/>
  <c r="J250" i="3"/>
  <c r="I250" i="3"/>
  <c r="H250" i="3"/>
  <c r="J249" i="3"/>
  <c r="I249" i="3"/>
  <c r="H249" i="3"/>
  <c r="J248" i="3"/>
  <c r="I248" i="3"/>
  <c r="H248" i="3"/>
  <c r="J247" i="3"/>
  <c r="I247" i="3"/>
  <c r="H247" i="3"/>
  <c r="J246" i="3"/>
  <c r="I246" i="3"/>
  <c r="H246" i="3"/>
  <c r="J245" i="3"/>
  <c r="I245" i="3"/>
  <c r="H245" i="3"/>
  <c r="J244" i="3"/>
  <c r="I244" i="3"/>
  <c r="H244" i="3"/>
  <c r="J243" i="3"/>
  <c r="I243" i="3"/>
  <c r="H243" i="3"/>
  <c r="J242" i="3"/>
  <c r="I242" i="3"/>
  <c r="H242" i="3"/>
  <c r="J241" i="3"/>
  <c r="I241" i="3"/>
  <c r="H241" i="3"/>
  <c r="J240" i="3"/>
  <c r="I240" i="3"/>
  <c r="H240" i="3"/>
  <c r="J239" i="3"/>
  <c r="I239" i="3"/>
  <c r="H239" i="3"/>
  <c r="J238" i="3"/>
  <c r="I238" i="3"/>
  <c r="H238" i="3"/>
  <c r="J237" i="3"/>
  <c r="I237" i="3"/>
  <c r="H237" i="3"/>
  <c r="J236" i="3"/>
  <c r="I236" i="3"/>
  <c r="H236" i="3"/>
  <c r="J235" i="3"/>
  <c r="I235" i="3"/>
  <c r="H235" i="3"/>
  <c r="J234" i="3"/>
  <c r="I234" i="3"/>
  <c r="H234" i="3"/>
  <c r="J233" i="3"/>
  <c r="I233" i="3"/>
  <c r="H233" i="3"/>
  <c r="J232" i="3"/>
  <c r="I232" i="3"/>
  <c r="H232" i="3"/>
  <c r="J231" i="3"/>
  <c r="I231" i="3"/>
  <c r="H231" i="3"/>
  <c r="J230" i="3"/>
  <c r="I230" i="3"/>
  <c r="H230" i="3"/>
  <c r="J229" i="3"/>
  <c r="I229" i="3"/>
  <c r="H229" i="3"/>
  <c r="J228" i="3"/>
  <c r="I228" i="3"/>
  <c r="H228" i="3"/>
  <c r="J227" i="3"/>
  <c r="I227" i="3"/>
  <c r="H227" i="3"/>
  <c r="J226" i="3"/>
  <c r="I226" i="3"/>
  <c r="H226" i="3"/>
  <c r="J225" i="3"/>
  <c r="I225" i="3"/>
  <c r="H225" i="3"/>
  <c r="J224" i="3"/>
  <c r="I224" i="3"/>
  <c r="H224" i="3"/>
  <c r="J223" i="3"/>
  <c r="I223" i="3"/>
  <c r="H223" i="3"/>
  <c r="J222" i="3"/>
  <c r="I222" i="3"/>
  <c r="H222" i="3"/>
  <c r="J221" i="3"/>
  <c r="I221" i="3"/>
  <c r="H221" i="3"/>
  <c r="J220" i="3"/>
  <c r="I220" i="3"/>
  <c r="H220" i="3"/>
  <c r="J219" i="3"/>
  <c r="I219" i="3"/>
  <c r="H219" i="3"/>
  <c r="J218" i="3"/>
  <c r="I218" i="3"/>
  <c r="H218" i="3"/>
  <c r="J217" i="3"/>
  <c r="I217" i="3"/>
  <c r="H217" i="3"/>
  <c r="J216" i="3"/>
  <c r="I216" i="3"/>
  <c r="H216" i="3"/>
  <c r="J215" i="3"/>
  <c r="I215" i="3"/>
  <c r="H215" i="3"/>
  <c r="J214" i="3"/>
  <c r="I214" i="3"/>
  <c r="H214" i="3"/>
  <c r="J213" i="3"/>
  <c r="I213" i="3"/>
  <c r="H213" i="3"/>
  <c r="J212" i="3"/>
  <c r="I212" i="3"/>
  <c r="H212" i="3"/>
  <c r="J211" i="3"/>
  <c r="I211" i="3"/>
  <c r="H211" i="3"/>
  <c r="J210" i="3"/>
  <c r="I210" i="3"/>
  <c r="H210" i="3"/>
  <c r="J209" i="3"/>
  <c r="I209" i="3"/>
  <c r="H209" i="3"/>
  <c r="J208" i="3"/>
  <c r="I208" i="3"/>
  <c r="H208" i="3"/>
  <c r="J207" i="3"/>
  <c r="I207" i="3"/>
  <c r="H207" i="3"/>
  <c r="J206" i="3"/>
  <c r="I206" i="3"/>
  <c r="H206" i="3"/>
  <c r="J205" i="3"/>
  <c r="I205" i="3"/>
  <c r="H205" i="3"/>
  <c r="J204" i="3"/>
  <c r="I204" i="3"/>
  <c r="H204" i="3"/>
  <c r="J203" i="3"/>
  <c r="I203" i="3"/>
  <c r="H203" i="3"/>
  <c r="J202" i="3"/>
  <c r="I202" i="3"/>
  <c r="H202" i="3"/>
  <c r="J201" i="3"/>
  <c r="I201" i="3"/>
  <c r="H201" i="3"/>
  <c r="J200" i="3"/>
  <c r="I200" i="3"/>
  <c r="H200" i="3"/>
  <c r="J199" i="3"/>
  <c r="I199" i="3"/>
  <c r="H199" i="3"/>
  <c r="J198" i="3"/>
  <c r="I198" i="3"/>
  <c r="H198" i="3"/>
  <c r="J197" i="3"/>
  <c r="I197" i="3"/>
  <c r="H197" i="3"/>
  <c r="J196" i="3"/>
  <c r="I196" i="3"/>
  <c r="H196" i="3"/>
  <c r="J194" i="3"/>
  <c r="I194" i="3"/>
  <c r="H194" i="3"/>
  <c r="J195" i="3"/>
  <c r="I195" i="3"/>
  <c r="H195" i="3"/>
  <c r="J193" i="3"/>
  <c r="I193" i="3"/>
  <c r="H193" i="3"/>
  <c r="J192" i="3"/>
  <c r="I192" i="3"/>
  <c r="H192" i="3"/>
  <c r="J191" i="3"/>
  <c r="I191" i="3"/>
  <c r="H191" i="3"/>
  <c r="J190" i="3"/>
  <c r="I190" i="3"/>
  <c r="H190" i="3"/>
  <c r="J189" i="3"/>
  <c r="I189" i="3"/>
  <c r="H189" i="3"/>
  <c r="J188" i="3"/>
  <c r="I188" i="3"/>
  <c r="H188" i="3"/>
  <c r="J187" i="3"/>
  <c r="I187" i="3"/>
  <c r="H187" i="3"/>
  <c r="J186" i="3"/>
  <c r="I186" i="3"/>
  <c r="H186" i="3"/>
  <c r="J185" i="3"/>
  <c r="I185" i="3"/>
  <c r="H185" i="3"/>
  <c r="J183" i="3"/>
  <c r="I183" i="3"/>
  <c r="H183" i="3"/>
  <c r="J184" i="3"/>
  <c r="I184" i="3"/>
  <c r="H184" i="3"/>
  <c r="J182" i="3"/>
  <c r="I182" i="3"/>
  <c r="H182" i="3"/>
  <c r="J181" i="3"/>
  <c r="I181" i="3"/>
  <c r="H181" i="3"/>
  <c r="J179" i="3"/>
  <c r="I179" i="3"/>
  <c r="H179" i="3"/>
  <c r="J180" i="3"/>
  <c r="I180" i="3"/>
  <c r="H180" i="3"/>
  <c r="J178" i="3"/>
  <c r="I178" i="3"/>
  <c r="H178" i="3"/>
  <c r="J177" i="3"/>
  <c r="I177" i="3"/>
  <c r="H177" i="3"/>
  <c r="J176" i="3"/>
  <c r="I176" i="3"/>
  <c r="H176" i="3"/>
  <c r="J175" i="3"/>
  <c r="I175" i="3"/>
  <c r="H175" i="3"/>
  <c r="J174" i="3"/>
  <c r="I174" i="3"/>
  <c r="H174" i="3"/>
  <c r="J173" i="3"/>
  <c r="I173" i="3"/>
  <c r="H173" i="3"/>
  <c r="J172" i="3"/>
  <c r="I172" i="3"/>
  <c r="H172" i="3"/>
  <c r="J171" i="3"/>
  <c r="I171" i="3"/>
  <c r="H171" i="3"/>
  <c r="J170" i="3"/>
  <c r="I170" i="3"/>
  <c r="H170" i="3"/>
  <c r="J169" i="3"/>
  <c r="I169" i="3"/>
  <c r="H169" i="3"/>
  <c r="J168" i="3"/>
  <c r="I168" i="3"/>
  <c r="H168" i="3"/>
  <c r="J167" i="3"/>
  <c r="I167" i="3"/>
  <c r="H167" i="3"/>
  <c r="J166" i="3"/>
  <c r="I166" i="3"/>
  <c r="H166" i="3"/>
  <c r="J165" i="3"/>
  <c r="I165" i="3"/>
  <c r="H165" i="3"/>
  <c r="J164" i="3"/>
  <c r="I164" i="3"/>
  <c r="H164" i="3"/>
  <c r="J163" i="3"/>
  <c r="I163" i="3"/>
  <c r="H163" i="3"/>
  <c r="J162" i="3"/>
  <c r="I162" i="3"/>
  <c r="H162" i="3"/>
  <c r="J160" i="3"/>
  <c r="I160" i="3"/>
  <c r="H160" i="3"/>
  <c r="J161" i="3"/>
  <c r="I161" i="3"/>
  <c r="H161" i="3"/>
  <c r="J159" i="3"/>
  <c r="I159" i="3"/>
  <c r="H159" i="3"/>
  <c r="J158" i="3"/>
  <c r="I158" i="3"/>
  <c r="H158" i="3"/>
  <c r="J157" i="3"/>
  <c r="I157" i="3"/>
  <c r="H157" i="3"/>
  <c r="J156" i="3"/>
  <c r="I156" i="3"/>
  <c r="H156" i="3"/>
  <c r="J155" i="3"/>
  <c r="I155" i="3"/>
  <c r="H155" i="3"/>
  <c r="J154" i="3"/>
  <c r="I154" i="3"/>
  <c r="H154" i="3"/>
  <c r="J153" i="3"/>
  <c r="I153" i="3"/>
  <c r="H153" i="3"/>
  <c r="J151" i="3"/>
  <c r="I151" i="3"/>
  <c r="H151" i="3"/>
  <c r="J152" i="3"/>
  <c r="I152" i="3"/>
  <c r="H152" i="3"/>
  <c r="J150" i="3"/>
  <c r="I150" i="3"/>
  <c r="H150" i="3"/>
  <c r="J149" i="3"/>
  <c r="I149" i="3"/>
  <c r="H149" i="3"/>
  <c r="J148" i="3"/>
  <c r="I148" i="3"/>
  <c r="H148" i="3"/>
  <c r="J147" i="3"/>
  <c r="I147" i="3"/>
  <c r="H147" i="3"/>
  <c r="J145" i="3"/>
  <c r="I145" i="3"/>
  <c r="H145" i="3"/>
  <c r="J146" i="3"/>
  <c r="I146" i="3"/>
  <c r="H146" i="3"/>
  <c r="J144" i="3"/>
  <c r="I144" i="3"/>
  <c r="H144" i="3"/>
  <c r="J142" i="3"/>
  <c r="I142" i="3"/>
  <c r="H142" i="3"/>
  <c r="J143" i="3"/>
  <c r="I143" i="3"/>
  <c r="H143" i="3"/>
  <c r="J140" i="3"/>
  <c r="I140" i="3"/>
  <c r="H140" i="3"/>
  <c r="J141" i="3"/>
  <c r="I141" i="3"/>
  <c r="H141" i="3"/>
  <c r="J138" i="3"/>
  <c r="I138" i="3"/>
  <c r="H138" i="3"/>
  <c r="J139" i="3"/>
  <c r="I139" i="3"/>
  <c r="H139" i="3"/>
  <c r="J135" i="3"/>
  <c r="I135" i="3"/>
  <c r="H135" i="3"/>
  <c r="J136" i="3"/>
  <c r="I136" i="3"/>
  <c r="H136" i="3"/>
  <c r="J137" i="3"/>
  <c r="I137" i="3"/>
  <c r="H137" i="3"/>
  <c r="J132" i="3"/>
  <c r="I132" i="3"/>
  <c r="H132" i="3"/>
  <c r="J133" i="3"/>
  <c r="I133" i="3"/>
  <c r="H133" i="3"/>
  <c r="J134" i="3"/>
  <c r="I134" i="3"/>
  <c r="H134" i="3"/>
  <c r="J124" i="3"/>
  <c r="I124" i="3"/>
  <c r="H124" i="3"/>
  <c r="J125" i="3"/>
  <c r="I125" i="3"/>
  <c r="H125" i="3"/>
  <c r="J126" i="3"/>
  <c r="I126" i="3"/>
  <c r="H126" i="3"/>
  <c r="J129" i="3"/>
  <c r="I129" i="3"/>
  <c r="H129" i="3"/>
  <c r="J128" i="3"/>
  <c r="I128" i="3"/>
  <c r="H128" i="3"/>
  <c r="J127" i="3"/>
  <c r="I127" i="3"/>
  <c r="H127" i="3"/>
  <c r="J131" i="3"/>
  <c r="I131" i="3"/>
  <c r="H131" i="3"/>
  <c r="J130" i="3"/>
  <c r="I130" i="3"/>
  <c r="H130" i="3"/>
  <c r="J120" i="3"/>
  <c r="I120" i="3"/>
  <c r="H120" i="3"/>
  <c r="J121" i="3"/>
  <c r="I121" i="3"/>
  <c r="H121" i="3"/>
  <c r="J122" i="3"/>
  <c r="I122" i="3"/>
  <c r="H122" i="3"/>
  <c r="J123" i="3"/>
  <c r="I123" i="3"/>
  <c r="H123" i="3"/>
  <c r="J111" i="3"/>
  <c r="I111" i="3"/>
  <c r="H111" i="3"/>
  <c r="J112" i="3"/>
  <c r="I112" i="3"/>
  <c r="H112" i="3"/>
  <c r="J113" i="3"/>
  <c r="I113" i="3"/>
  <c r="H113" i="3"/>
  <c r="J114" i="3"/>
  <c r="I114" i="3"/>
  <c r="H114" i="3"/>
  <c r="J115" i="3"/>
  <c r="I115" i="3"/>
  <c r="H115" i="3"/>
  <c r="J116" i="3"/>
  <c r="I116" i="3"/>
  <c r="H116" i="3"/>
  <c r="J117" i="3"/>
  <c r="I117" i="3"/>
  <c r="H117" i="3"/>
  <c r="J118" i="3"/>
  <c r="I118" i="3"/>
  <c r="H118" i="3"/>
  <c r="J119" i="3"/>
  <c r="I119" i="3"/>
  <c r="H119" i="3"/>
  <c r="J106" i="3"/>
  <c r="I106" i="3"/>
  <c r="H106" i="3"/>
  <c r="J107" i="3"/>
  <c r="I107" i="3"/>
  <c r="H107" i="3"/>
  <c r="J108" i="3"/>
  <c r="I108" i="3"/>
  <c r="H108" i="3"/>
  <c r="J109" i="3"/>
  <c r="I109" i="3"/>
  <c r="H109" i="3"/>
  <c r="J110" i="3"/>
  <c r="I110" i="3"/>
  <c r="H110" i="3"/>
  <c r="J96" i="3"/>
  <c r="I96" i="3"/>
  <c r="H96" i="3"/>
  <c r="J97" i="3"/>
  <c r="I97" i="3"/>
  <c r="H97" i="3"/>
  <c r="J98" i="3"/>
  <c r="I98" i="3"/>
  <c r="H98" i="3"/>
  <c r="J100" i="3"/>
  <c r="I100" i="3"/>
  <c r="H100" i="3"/>
  <c r="J99" i="3"/>
  <c r="I99" i="3"/>
  <c r="H99" i="3"/>
  <c r="J103" i="3"/>
  <c r="I103" i="3"/>
  <c r="H103" i="3"/>
  <c r="J101" i="3"/>
  <c r="I101" i="3"/>
  <c r="H101" i="3"/>
  <c r="J102" i="3"/>
  <c r="I102" i="3"/>
  <c r="H102" i="3"/>
  <c r="J104" i="3"/>
  <c r="I104" i="3"/>
  <c r="H104" i="3"/>
  <c r="J105" i="3"/>
  <c r="I105" i="3"/>
  <c r="H105" i="3"/>
  <c r="J95" i="3"/>
  <c r="I95" i="3"/>
  <c r="H95" i="3"/>
  <c r="J94" i="3"/>
  <c r="I94" i="3"/>
  <c r="H94" i="3"/>
  <c r="J93" i="3"/>
  <c r="I93" i="3"/>
  <c r="H93" i="3"/>
  <c r="J92" i="3"/>
  <c r="I92" i="3"/>
  <c r="H92" i="3"/>
  <c r="J91" i="3"/>
  <c r="I91" i="3"/>
  <c r="H91" i="3"/>
  <c r="J90" i="3"/>
  <c r="I90" i="3"/>
  <c r="H90" i="3"/>
  <c r="J89" i="3"/>
  <c r="I89" i="3"/>
  <c r="H89" i="3"/>
  <c r="J87" i="3"/>
  <c r="I87" i="3"/>
  <c r="H87" i="3"/>
  <c r="J88" i="3"/>
  <c r="I88" i="3"/>
  <c r="H88" i="3"/>
  <c r="J86" i="3"/>
  <c r="I86" i="3"/>
  <c r="H86" i="3"/>
  <c r="J84" i="3"/>
  <c r="I84" i="3"/>
  <c r="H84" i="3"/>
  <c r="J82" i="3"/>
  <c r="I82" i="3"/>
  <c r="H82" i="3"/>
  <c r="J79" i="3"/>
  <c r="I79" i="3"/>
  <c r="H79" i="3"/>
  <c r="J74" i="3"/>
  <c r="I74" i="3"/>
  <c r="H74" i="3"/>
  <c r="J80" i="3"/>
  <c r="I80" i="3"/>
  <c r="H80" i="3"/>
  <c r="J73" i="3"/>
  <c r="I73" i="3"/>
  <c r="H73" i="3"/>
  <c r="J83" i="3"/>
  <c r="I83" i="3"/>
  <c r="H83" i="3"/>
  <c r="J85" i="3"/>
  <c r="I85" i="3"/>
  <c r="H85" i="3"/>
  <c r="J72" i="3"/>
  <c r="I72" i="3"/>
  <c r="H72" i="3"/>
  <c r="J81" i="3"/>
  <c r="I81" i="3"/>
  <c r="H81" i="3"/>
  <c r="J78" i="3"/>
  <c r="I78" i="3"/>
  <c r="H78" i="3"/>
  <c r="J77" i="3"/>
  <c r="I77" i="3"/>
  <c r="H77" i="3"/>
  <c r="J68" i="3"/>
  <c r="I68" i="3"/>
  <c r="H68" i="3"/>
  <c r="J66" i="3"/>
  <c r="I66" i="3"/>
  <c r="H66" i="3"/>
  <c r="J69" i="3"/>
  <c r="I69" i="3"/>
  <c r="H69" i="3"/>
  <c r="J65" i="3"/>
  <c r="I65" i="3"/>
  <c r="H65" i="3"/>
  <c r="J64" i="3"/>
  <c r="I64" i="3"/>
  <c r="H64" i="3"/>
  <c r="J71" i="3"/>
  <c r="I71" i="3"/>
  <c r="H71" i="3"/>
  <c r="J70" i="3"/>
  <c r="I70" i="3"/>
  <c r="H70" i="3"/>
  <c r="J63" i="3"/>
  <c r="I63" i="3"/>
  <c r="H63" i="3"/>
  <c r="J76" i="3"/>
  <c r="I76" i="3"/>
  <c r="H76" i="3"/>
  <c r="J75" i="3"/>
  <c r="I75" i="3"/>
  <c r="H75" i="3"/>
  <c r="J57" i="3"/>
  <c r="I57" i="3"/>
  <c r="H57" i="3"/>
  <c r="J58" i="3"/>
  <c r="I58" i="3"/>
  <c r="H58" i="3"/>
  <c r="J56" i="3"/>
  <c r="I56" i="3"/>
  <c r="H56" i="3"/>
  <c r="J55" i="3"/>
  <c r="I55" i="3"/>
  <c r="H55" i="3"/>
  <c r="J54" i="3"/>
  <c r="I54" i="3"/>
  <c r="H54" i="3"/>
  <c r="J59" i="3"/>
  <c r="I59" i="3"/>
  <c r="H59" i="3"/>
  <c r="J53" i="3"/>
  <c r="I53" i="3"/>
  <c r="H53" i="3"/>
  <c r="J61" i="3"/>
  <c r="I61" i="3"/>
  <c r="H61" i="3"/>
  <c r="J62" i="3"/>
  <c r="I62" i="3"/>
  <c r="H62" i="3"/>
  <c r="J67" i="3"/>
  <c r="I67" i="3"/>
  <c r="H67" i="3"/>
  <c r="J52" i="3"/>
  <c r="I52" i="3"/>
  <c r="H52" i="3"/>
  <c r="J60" i="3"/>
  <c r="I60" i="3"/>
  <c r="H60" i="3"/>
  <c r="J45" i="3"/>
  <c r="I45" i="3"/>
  <c r="H45" i="3"/>
  <c r="J48" i="3"/>
  <c r="I48" i="3"/>
  <c r="H48" i="3"/>
  <c r="J51" i="3"/>
  <c r="I51" i="3"/>
  <c r="H51" i="3"/>
  <c r="J44" i="3"/>
  <c r="I44" i="3"/>
  <c r="H44" i="3"/>
  <c r="J47" i="3"/>
  <c r="I47" i="3"/>
  <c r="H47" i="3"/>
  <c r="J43" i="3"/>
  <c r="I43" i="3"/>
  <c r="H43" i="3"/>
  <c r="J49" i="3"/>
  <c r="I49" i="3"/>
  <c r="H49" i="3"/>
  <c r="J50" i="3"/>
  <c r="I50" i="3"/>
  <c r="H50" i="3"/>
  <c r="J42" i="3"/>
  <c r="I42" i="3"/>
  <c r="H42" i="3"/>
  <c r="J35" i="3"/>
  <c r="I35" i="3"/>
  <c r="H35" i="3"/>
  <c r="J34" i="3"/>
  <c r="I34" i="3"/>
  <c r="H34" i="3"/>
  <c r="J31" i="3"/>
  <c r="I31" i="3"/>
  <c r="H31" i="3"/>
  <c r="J37" i="3"/>
  <c r="I37" i="3"/>
  <c r="H37" i="3"/>
  <c r="J29" i="3"/>
  <c r="I29" i="3"/>
  <c r="H29" i="3"/>
  <c r="J38" i="3"/>
  <c r="I38" i="3"/>
  <c r="H38" i="3"/>
  <c r="J40" i="3"/>
  <c r="I40" i="3"/>
  <c r="H40" i="3"/>
  <c r="J28" i="3"/>
  <c r="I28" i="3"/>
  <c r="H28" i="3"/>
  <c r="J27" i="3"/>
  <c r="I27" i="3"/>
  <c r="H27" i="3"/>
  <c r="J41" i="3"/>
  <c r="I41" i="3"/>
  <c r="H41" i="3"/>
  <c r="J33" i="3"/>
  <c r="I33" i="3"/>
  <c r="H33" i="3"/>
  <c r="J32" i="3"/>
  <c r="I32" i="3"/>
  <c r="H32" i="3"/>
  <c r="J30" i="3"/>
  <c r="I30" i="3"/>
  <c r="H30" i="3"/>
  <c r="J39" i="3"/>
  <c r="I39" i="3"/>
  <c r="H39" i="3"/>
  <c r="J26" i="3"/>
  <c r="I26" i="3"/>
  <c r="H26" i="3"/>
  <c r="J25" i="3"/>
  <c r="I25" i="3"/>
  <c r="H25" i="3"/>
  <c r="J18" i="3"/>
  <c r="I18" i="3"/>
  <c r="H18" i="3"/>
  <c r="J21" i="3"/>
  <c r="I21" i="3"/>
  <c r="H21" i="3"/>
  <c r="J14" i="3"/>
  <c r="I14" i="3"/>
  <c r="H14" i="3"/>
  <c r="J9" i="3"/>
  <c r="I9" i="3"/>
  <c r="H9" i="3"/>
  <c r="J13" i="3"/>
  <c r="I13" i="3"/>
  <c r="H13" i="3"/>
  <c r="J20" i="3"/>
  <c r="I20" i="3"/>
  <c r="H20" i="3"/>
  <c r="J10" i="3"/>
  <c r="I10" i="3"/>
  <c r="H10" i="3"/>
  <c r="J19" i="3"/>
  <c r="I19" i="3"/>
  <c r="H19" i="3"/>
  <c r="J24" i="3"/>
  <c r="I24" i="3"/>
  <c r="H24" i="3"/>
  <c r="J23" i="3"/>
  <c r="I23" i="3"/>
  <c r="H23" i="3"/>
  <c r="J8" i="3"/>
  <c r="I8" i="3"/>
  <c r="H8" i="3"/>
  <c r="J12" i="3"/>
  <c r="I12" i="3"/>
  <c r="H12" i="3"/>
  <c r="J11" i="3"/>
  <c r="I11" i="3"/>
  <c r="H11" i="3"/>
  <c r="J17" i="3"/>
  <c r="I17" i="3"/>
  <c r="H17" i="3"/>
  <c r="J22" i="3"/>
  <c r="I22" i="3"/>
  <c r="H22" i="3"/>
  <c r="J7" i="3"/>
  <c r="I7" i="3"/>
  <c r="H7" i="3"/>
  <c r="J16" i="3"/>
  <c r="I16" i="3"/>
  <c r="H16" i="3"/>
  <c r="J46" i="3"/>
  <c r="I46" i="3"/>
  <c r="H46" i="3"/>
  <c r="J36" i="3"/>
  <c r="I36" i="3"/>
  <c r="H36" i="3"/>
  <c r="J6" i="3"/>
  <c r="I6" i="3"/>
  <c r="H6" i="3"/>
  <c r="J5" i="3"/>
  <c r="I5" i="3"/>
  <c r="H5" i="3"/>
  <c r="J15" i="3"/>
  <c r="I15" i="3"/>
  <c r="H15" i="3"/>
  <c r="J4" i="3"/>
  <c r="I4" i="3"/>
  <c r="H4" i="3"/>
  <c r="J3" i="3"/>
  <c r="I3" i="3"/>
  <c r="H3" i="3"/>
  <c r="J2" i="3"/>
  <c r="I2" i="3"/>
  <c r="H2" i="3"/>
  <c r="H98" i="2"/>
  <c r="I98" i="2"/>
  <c r="J98" i="2"/>
  <c r="H99" i="2"/>
  <c r="I99" i="2"/>
  <c r="J99" i="2"/>
  <c r="H100" i="2"/>
  <c r="I100" i="2"/>
  <c r="J100" i="2"/>
  <c r="H101" i="2"/>
  <c r="I101" i="2"/>
  <c r="J101" i="2"/>
  <c r="H102" i="2"/>
  <c r="I102" i="2"/>
  <c r="J102" i="2"/>
  <c r="H103" i="2"/>
  <c r="I103" i="2"/>
  <c r="J103" i="2"/>
  <c r="H104" i="2"/>
  <c r="I104" i="2"/>
  <c r="J104" i="2"/>
  <c r="H105" i="2"/>
  <c r="I105" i="2"/>
  <c r="J105" i="2"/>
  <c r="H106" i="2"/>
  <c r="I106" i="2"/>
  <c r="J106" i="2"/>
  <c r="H107" i="2"/>
  <c r="I107" i="2"/>
  <c r="J107" i="2"/>
  <c r="H108" i="2"/>
  <c r="I108" i="2"/>
  <c r="J108" i="2"/>
  <c r="H109" i="2"/>
  <c r="I109" i="2"/>
  <c r="J109" i="2"/>
  <c r="H110" i="2"/>
  <c r="I110" i="2"/>
  <c r="J110" i="2"/>
  <c r="H111" i="2"/>
  <c r="I111" i="2"/>
  <c r="J111" i="2"/>
  <c r="H112" i="2"/>
  <c r="I112" i="2"/>
  <c r="J112" i="2"/>
  <c r="H113" i="2"/>
  <c r="I113" i="2"/>
  <c r="J113" i="2"/>
  <c r="H114" i="2"/>
  <c r="I114" i="2"/>
  <c r="J114" i="2"/>
  <c r="H115" i="2"/>
  <c r="I115" i="2"/>
  <c r="J115" i="2"/>
  <c r="H116" i="2"/>
  <c r="I116" i="2"/>
  <c r="J116" i="2"/>
  <c r="H117" i="2"/>
  <c r="I117" i="2"/>
  <c r="J117" i="2"/>
  <c r="H118" i="2"/>
  <c r="I118" i="2"/>
  <c r="J118" i="2"/>
  <c r="H119" i="2"/>
  <c r="I119" i="2"/>
  <c r="J119" i="2"/>
  <c r="H120" i="2"/>
  <c r="I120" i="2"/>
  <c r="J120" i="2"/>
  <c r="H121" i="2"/>
  <c r="I121" i="2"/>
  <c r="J121" i="2"/>
  <c r="H122" i="2"/>
  <c r="I122" i="2"/>
  <c r="J122" i="2"/>
  <c r="H123" i="2"/>
  <c r="I123" i="2"/>
  <c r="J123" i="2"/>
  <c r="H124" i="2"/>
  <c r="I124" i="2"/>
  <c r="J124" i="2"/>
  <c r="H125" i="2"/>
  <c r="I125" i="2"/>
  <c r="J125" i="2"/>
  <c r="H126" i="2"/>
  <c r="I126" i="2"/>
  <c r="J126" i="2"/>
  <c r="H127" i="2"/>
  <c r="I127" i="2"/>
  <c r="J127" i="2"/>
  <c r="H128" i="2"/>
  <c r="I128" i="2"/>
  <c r="J128" i="2"/>
  <c r="H129" i="2"/>
  <c r="I129" i="2"/>
  <c r="J129" i="2"/>
  <c r="H130" i="2"/>
  <c r="I130" i="2"/>
  <c r="J130" i="2"/>
  <c r="H131" i="2"/>
  <c r="I131" i="2"/>
  <c r="J131" i="2"/>
  <c r="H132" i="2"/>
  <c r="I132" i="2"/>
  <c r="J132" i="2"/>
  <c r="H133" i="2"/>
  <c r="I133" i="2"/>
  <c r="J133" i="2"/>
  <c r="H134" i="2"/>
  <c r="I134" i="2"/>
  <c r="J134" i="2"/>
  <c r="H135" i="2"/>
  <c r="I135" i="2"/>
  <c r="J135" i="2"/>
  <c r="H136" i="2"/>
  <c r="I136" i="2"/>
  <c r="J136" i="2"/>
  <c r="H151" i="2"/>
  <c r="I151" i="2"/>
  <c r="J151" i="2"/>
  <c r="H2" i="2"/>
  <c r="I2" i="2"/>
  <c r="J2" i="2"/>
  <c r="H3" i="2"/>
  <c r="I3" i="2"/>
  <c r="J3" i="2"/>
  <c r="H4" i="2"/>
  <c r="I4" i="2"/>
  <c r="J4" i="2"/>
  <c r="H198" i="2"/>
  <c r="I198" i="2"/>
  <c r="J198" i="2"/>
  <c r="H5" i="2"/>
  <c r="I5" i="2"/>
  <c r="J5" i="2"/>
  <c r="H6" i="2"/>
  <c r="I6" i="2"/>
  <c r="J6" i="2"/>
  <c r="H144" i="2"/>
  <c r="I144" i="2"/>
  <c r="J144" i="2"/>
  <c r="H7" i="2"/>
  <c r="I7" i="2"/>
  <c r="J7" i="2"/>
  <c r="H193" i="2"/>
  <c r="I193" i="2"/>
  <c r="J193" i="2"/>
  <c r="H203" i="2"/>
  <c r="I203" i="2"/>
  <c r="J203" i="2"/>
  <c r="H227" i="2"/>
  <c r="I227" i="2"/>
  <c r="J227" i="2"/>
  <c r="H8" i="2"/>
  <c r="I8" i="2"/>
  <c r="J8" i="2"/>
  <c r="H159" i="2"/>
  <c r="I159" i="2"/>
  <c r="J159" i="2"/>
  <c r="H9" i="2"/>
  <c r="I9" i="2"/>
  <c r="J9" i="2"/>
  <c r="H384" i="2"/>
  <c r="I384" i="2"/>
  <c r="J384" i="2"/>
  <c r="H291" i="2"/>
  <c r="I291" i="2"/>
  <c r="J291" i="2"/>
  <c r="H375" i="2"/>
  <c r="I375" i="2"/>
  <c r="J375" i="2"/>
  <c r="H406" i="2"/>
  <c r="I406" i="2"/>
  <c r="J406" i="2"/>
  <c r="H10" i="2"/>
  <c r="I10" i="2"/>
  <c r="J10" i="2"/>
  <c r="H11" i="2"/>
  <c r="I11" i="2"/>
  <c r="J11" i="2"/>
  <c r="H182" i="2"/>
  <c r="I182" i="2"/>
  <c r="J182" i="2"/>
  <c r="H12" i="2"/>
  <c r="I12" i="2"/>
  <c r="J12" i="2"/>
  <c r="H145" i="2"/>
  <c r="I145" i="2"/>
  <c r="J145" i="2"/>
  <c r="H210" i="2"/>
  <c r="I210" i="2"/>
  <c r="J210" i="2"/>
  <c r="H13" i="2"/>
  <c r="I13" i="2"/>
  <c r="J13" i="2"/>
  <c r="H14" i="2"/>
  <c r="I14" i="2"/>
  <c r="J14" i="2"/>
  <c r="H146" i="2"/>
  <c r="I146" i="2"/>
  <c r="J146" i="2"/>
  <c r="H15" i="2"/>
  <c r="I15" i="2"/>
  <c r="J15" i="2"/>
  <c r="H334" i="2"/>
  <c r="I334" i="2"/>
  <c r="J334" i="2"/>
  <c r="H397" i="2"/>
  <c r="I397" i="2"/>
  <c r="J397" i="2"/>
  <c r="H309" i="2"/>
  <c r="I309" i="2"/>
  <c r="J309" i="2"/>
  <c r="H160" i="2"/>
  <c r="I160" i="2"/>
  <c r="J160" i="2"/>
  <c r="H180" i="2"/>
  <c r="I180" i="2"/>
  <c r="J180" i="2"/>
  <c r="H16" i="2"/>
  <c r="I16" i="2"/>
  <c r="J16" i="2"/>
  <c r="H17" i="2"/>
  <c r="I17" i="2"/>
  <c r="J17" i="2"/>
  <c r="H18" i="2"/>
  <c r="I18" i="2"/>
  <c r="J18" i="2"/>
  <c r="H19" i="2"/>
  <c r="I19" i="2"/>
  <c r="J19" i="2"/>
  <c r="H222" i="2"/>
  <c r="I222" i="2"/>
  <c r="J222" i="2"/>
  <c r="H20" i="2"/>
  <c r="I20" i="2"/>
  <c r="J20" i="2"/>
  <c r="H21" i="2"/>
  <c r="I21" i="2"/>
  <c r="J21" i="2"/>
  <c r="H22" i="2"/>
  <c r="I22" i="2"/>
  <c r="J22" i="2"/>
  <c r="H164" i="2"/>
  <c r="I164" i="2"/>
  <c r="J164" i="2"/>
  <c r="H172" i="2"/>
  <c r="I172" i="2"/>
  <c r="J172" i="2"/>
  <c r="H185" i="2"/>
  <c r="I185" i="2"/>
  <c r="J185" i="2"/>
  <c r="H23" i="2"/>
  <c r="I23" i="2"/>
  <c r="J23" i="2"/>
  <c r="H24" i="2"/>
  <c r="I24" i="2"/>
  <c r="J24" i="2"/>
  <c r="H184" i="2"/>
  <c r="I184" i="2"/>
  <c r="J184" i="2"/>
  <c r="H191" i="2"/>
  <c r="I191" i="2"/>
  <c r="J191" i="2"/>
  <c r="H25" i="2"/>
  <c r="I25" i="2"/>
  <c r="J25" i="2"/>
  <c r="H26" i="2"/>
  <c r="I26" i="2"/>
  <c r="J26" i="2"/>
  <c r="H232" i="2"/>
  <c r="I232" i="2"/>
  <c r="J232" i="2"/>
  <c r="H213" i="2"/>
  <c r="I213" i="2"/>
  <c r="J213" i="2"/>
  <c r="H277" i="2"/>
  <c r="I277" i="2"/>
  <c r="J277" i="2"/>
  <c r="H319" i="2"/>
  <c r="I319" i="2"/>
  <c r="J319" i="2"/>
  <c r="H387" i="2"/>
  <c r="I387" i="2"/>
  <c r="J387" i="2"/>
  <c r="H27" i="2"/>
  <c r="I27" i="2"/>
  <c r="J27" i="2"/>
  <c r="H302" i="2"/>
  <c r="I302" i="2"/>
  <c r="J302" i="2"/>
  <c r="H239" i="2"/>
  <c r="I239" i="2"/>
  <c r="J239" i="2"/>
  <c r="H385" i="2"/>
  <c r="I385" i="2"/>
  <c r="J385" i="2"/>
  <c r="H28" i="2"/>
  <c r="I28" i="2"/>
  <c r="J28" i="2"/>
  <c r="H170" i="2"/>
  <c r="I170" i="2"/>
  <c r="J170" i="2"/>
  <c r="H322" i="2"/>
  <c r="I322" i="2"/>
  <c r="J322" i="2"/>
  <c r="H254" i="2"/>
  <c r="I254" i="2"/>
  <c r="J254" i="2"/>
  <c r="H204" i="2"/>
  <c r="I204" i="2"/>
  <c r="J204" i="2"/>
  <c r="H178" i="2"/>
  <c r="I178" i="2"/>
  <c r="J178" i="2"/>
  <c r="H303" i="2"/>
  <c r="I303" i="2"/>
  <c r="J303" i="2"/>
  <c r="H276" i="2"/>
  <c r="I276" i="2"/>
  <c r="J276" i="2"/>
  <c r="H344" i="2"/>
  <c r="I344" i="2"/>
  <c r="J344" i="2"/>
  <c r="H196" i="2"/>
  <c r="I196" i="2"/>
  <c r="J196" i="2"/>
  <c r="H243" i="2"/>
  <c r="I243" i="2"/>
  <c r="J243" i="2"/>
  <c r="H288" i="2"/>
  <c r="I288" i="2"/>
  <c r="J288" i="2"/>
  <c r="H29" i="2"/>
  <c r="I29" i="2"/>
  <c r="J29" i="2"/>
  <c r="H30" i="2"/>
  <c r="I30" i="2"/>
  <c r="J30" i="2"/>
  <c r="H31" i="2"/>
  <c r="I31" i="2"/>
  <c r="J31" i="2"/>
  <c r="H32" i="2"/>
  <c r="I32" i="2"/>
  <c r="J32" i="2"/>
  <c r="H33" i="2"/>
  <c r="I33" i="2"/>
  <c r="J33" i="2"/>
  <c r="H34" i="2"/>
  <c r="I34" i="2"/>
  <c r="J34" i="2"/>
  <c r="H35" i="2"/>
  <c r="I35" i="2"/>
  <c r="J35" i="2"/>
  <c r="H36" i="2"/>
  <c r="I36" i="2"/>
  <c r="J36" i="2"/>
  <c r="H37" i="2"/>
  <c r="I37" i="2"/>
  <c r="J37" i="2"/>
  <c r="H38" i="2"/>
  <c r="I38" i="2"/>
  <c r="J38" i="2"/>
  <c r="H39" i="2"/>
  <c r="I39" i="2"/>
  <c r="J39" i="2"/>
  <c r="H218" i="2"/>
  <c r="I218" i="2"/>
  <c r="J218" i="2"/>
  <c r="H142" i="2"/>
  <c r="I142" i="2"/>
  <c r="J142" i="2"/>
  <c r="H143" i="2"/>
  <c r="I143" i="2"/>
  <c r="J143" i="2"/>
  <c r="H171" i="2"/>
  <c r="I171" i="2"/>
  <c r="J171" i="2"/>
  <c r="H206" i="2"/>
  <c r="I206" i="2"/>
  <c r="J206" i="2"/>
  <c r="H266" i="2"/>
  <c r="I266" i="2"/>
  <c r="J266" i="2"/>
  <c r="H294" i="2"/>
  <c r="I294" i="2"/>
  <c r="J294" i="2"/>
  <c r="H40" i="2"/>
  <c r="I40" i="2"/>
  <c r="J40" i="2"/>
  <c r="H41" i="2"/>
  <c r="I41" i="2"/>
  <c r="J41" i="2"/>
  <c r="H208" i="2"/>
  <c r="I208" i="2"/>
  <c r="J208" i="2"/>
  <c r="H42" i="2"/>
  <c r="I42" i="2"/>
  <c r="J42" i="2"/>
  <c r="H43" i="2"/>
  <c r="I43" i="2"/>
  <c r="J43" i="2"/>
  <c r="H175" i="2"/>
  <c r="I175" i="2"/>
  <c r="J175" i="2"/>
  <c r="H330" i="2"/>
  <c r="I330" i="2"/>
  <c r="J330" i="2"/>
  <c r="H44" i="2"/>
  <c r="I44" i="2"/>
  <c r="J44" i="2"/>
  <c r="H223" i="2"/>
  <c r="I223" i="2"/>
  <c r="J223" i="2"/>
  <c r="H45" i="2"/>
  <c r="I45" i="2"/>
  <c r="J45" i="2"/>
  <c r="H46" i="2"/>
  <c r="I46" i="2"/>
  <c r="J46" i="2"/>
  <c r="H47" i="2"/>
  <c r="I47" i="2"/>
  <c r="J47" i="2"/>
  <c r="H284" i="2"/>
  <c r="I284" i="2"/>
  <c r="J284" i="2"/>
  <c r="H48" i="2"/>
  <c r="I48" i="2"/>
  <c r="J48" i="2"/>
  <c r="H49" i="2"/>
  <c r="I49" i="2"/>
  <c r="J49" i="2"/>
  <c r="H317" i="2"/>
  <c r="I317" i="2"/>
  <c r="J317" i="2"/>
  <c r="H211" i="2"/>
  <c r="I211" i="2"/>
  <c r="J211" i="2"/>
  <c r="H216" i="2"/>
  <c r="I216" i="2"/>
  <c r="J216" i="2"/>
  <c r="H329" i="2"/>
  <c r="I329" i="2"/>
  <c r="J329" i="2"/>
  <c r="H244" i="2"/>
  <c r="I244" i="2"/>
  <c r="J244" i="2"/>
  <c r="H167" i="2"/>
  <c r="I167" i="2"/>
  <c r="J167" i="2"/>
  <c r="H307" i="2"/>
  <c r="I307" i="2"/>
  <c r="J307" i="2"/>
  <c r="H349" i="2"/>
  <c r="I349" i="2"/>
  <c r="J349" i="2"/>
  <c r="H230" i="2"/>
  <c r="I230" i="2"/>
  <c r="J230" i="2"/>
  <c r="H373" i="2"/>
  <c r="I373" i="2"/>
  <c r="J373" i="2"/>
  <c r="H272" i="2"/>
  <c r="I272" i="2"/>
  <c r="J272" i="2"/>
  <c r="H270" i="2"/>
  <c r="I270" i="2"/>
  <c r="J270" i="2"/>
  <c r="H297" i="2"/>
  <c r="I297" i="2"/>
  <c r="J297" i="2"/>
  <c r="H362" i="2"/>
  <c r="I362" i="2"/>
  <c r="J362" i="2"/>
  <c r="H372" i="2"/>
  <c r="I372" i="2"/>
  <c r="J372" i="2"/>
  <c r="H308" i="2"/>
  <c r="I308" i="2"/>
  <c r="J308" i="2"/>
  <c r="H374" i="2"/>
  <c r="I374" i="2"/>
  <c r="J374" i="2"/>
  <c r="H168" i="2"/>
  <c r="I168" i="2"/>
  <c r="J168" i="2"/>
  <c r="H399" i="2"/>
  <c r="I399" i="2"/>
  <c r="J399" i="2"/>
  <c r="H50" i="2"/>
  <c r="I50" i="2"/>
  <c r="J50" i="2"/>
  <c r="H139" i="2"/>
  <c r="I139" i="2"/>
  <c r="J139" i="2"/>
  <c r="H163" i="2"/>
  <c r="I163" i="2"/>
  <c r="J163" i="2"/>
  <c r="H259" i="2"/>
  <c r="I259" i="2"/>
  <c r="J259" i="2"/>
  <c r="H214" i="2"/>
  <c r="I214" i="2"/>
  <c r="J214" i="2"/>
  <c r="H361" i="2"/>
  <c r="I361" i="2"/>
  <c r="J361" i="2"/>
  <c r="H225" i="2"/>
  <c r="I225" i="2"/>
  <c r="J225" i="2"/>
  <c r="H140" i="2"/>
  <c r="I140" i="2"/>
  <c r="J140" i="2"/>
  <c r="H212" i="2"/>
  <c r="I212" i="2"/>
  <c r="J212" i="2"/>
  <c r="H141" i="2"/>
  <c r="I141" i="2"/>
  <c r="J141" i="2"/>
  <c r="H333" i="2"/>
  <c r="I333" i="2"/>
  <c r="J333" i="2"/>
  <c r="H169" i="2"/>
  <c r="I169" i="2"/>
  <c r="J169" i="2"/>
  <c r="H158" i="2"/>
  <c r="I158" i="2"/>
  <c r="J158" i="2"/>
  <c r="H51" i="2"/>
  <c r="I51" i="2"/>
  <c r="J51" i="2"/>
  <c r="H226" i="2"/>
  <c r="I226" i="2"/>
  <c r="J226" i="2"/>
  <c r="H240" i="2"/>
  <c r="I240" i="2"/>
  <c r="J240" i="2"/>
  <c r="H192" i="2"/>
  <c r="I192" i="2"/>
  <c r="J192" i="2"/>
  <c r="H242" i="2"/>
  <c r="I242" i="2"/>
  <c r="J242" i="2"/>
  <c r="H410" i="2"/>
  <c r="I410" i="2"/>
  <c r="J410" i="2"/>
  <c r="H323" i="2"/>
  <c r="I323" i="2"/>
  <c r="J323" i="2"/>
  <c r="H357" i="2"/>
  <c r="I357" i="2"/>
  <c r="J357" i="2"/>
  <c r="H300" i="2"/>
  <c r="I300" i="2"/>
  <c r="J300" i="2"/>
  <c r="H245" i="2"/>
  <c r="I245" i="2"/>
  <c r="J245" i="2"/>
  <c r="H52" i="2"/>
  <c r="I52" i="2"/>
  <c r="J52" i="2"/>
  <c r="H53" i="2"/>
  <c r="I53" i="2"/>
  <c r="J53" i="2"/>
  <c r="H271" i="2"/>
  <c r="I271" i="2"/>
  <c r="J271" i="2"/>
  <c r="H202" i="2"/>
  <c r="I202" i="2"/>
  <c r="J202" i="2"/>
  <c r="H356" i="2"/>
  <c r="I356" i="2"/>
  <c r="J356" i="2"/>
  <c r="H345" i="2"/>
  <c r="I345" i="2"/>
  <c r="J345" i="2"/>
  <c r="H268" i="2"/>
  <c r="I268" i="2"/>
  <c r="J268" i="2"/>
  <c r="H358" i="2"/>
  <c r="I358" i="2"/>
  <c r="J358" i="2"/>
  <c r="H54" i="2"/>
  <c r="I54" i="2"/>
  <c r="J54" i="2"/>
  <c r="H248" i="2"/>
  <c r="I248" i="2"/>
  <c r="J248" i="2"/>
  <c r="H296" i="2"/>
  <c r="I296" i="2"/>
  <c r="J296" i="2"/>
  <c r="H221" i="2"/>
  <c r="I221" i="2"/>
  <c r="J221" i="2"/>
  <c r="H411" i="2"/>
  <c r="I411" i="2"/>
  <c r="J411" i="2"/>
  <c r="H181" i="2"/>
  <c r="I181" i="2"/>
  <c r="J181" i="2"/>
  <c r="H343" i="2"/>
  <c r="I343" i="2"/>
  <c r="J343" i="2"/>
  <c r="H366" i="2"/>
  <c r="I366" i="2"/>
  <c r="J366" i="2"/>
  <c r="H55" i="2"/>
  <c r="I55" i="2"/>
  <c r="J55" i="2"/>
  <c r="H187" i="2"/>
  <c r="I187" i="2"/>
  <c r="J187" i="2"/>
  <c r="H150" i="2"/>
  <c r="I150" i="2"/>
  <c r="J150" i="2"/>
  <c r="H56" i="2"/>
  <c r="I56" i="2"/>
  <c r="J56" i="2"/>
  <c r="H57" i="2"/>
  <c r="I57" i="2"/>
  <c r="J57" i="2"/>
  <c r="H138" i="2"/>
  <c r="I138" i="2"/>
  <c r="J138" i="2"/>
  <c r="H58" i="2"/>
  <c r="I58" i="2"/>
  <c r="J58" i="2"/>
  <c r="H342" i="2"/>
  <c r="I342" i="2"/>
  <c r="J342" i="2"/>
  <c r="H215" i="2"/>
  <c r="I215" i="2"/>
  <c r="J215" i="2"/>
  <c r="H59" i="2"/>
  <c r="I59" i="2"/>
  <c r="J59" i="2"/>
  <c r="H258" i="2"/>
  <c r="I258" i="2"/>
  <c r="J258" i="2"/>
  <c r="H253" i="2"/>
  <c r="I253" i="2"/>
  <c r="J253" i="2"/>
  <c r="H207" i="2"/>
  <c r="I207" i="2"/>
  <c r="J207" i="2"/>
  <c r="H282" i="2"/>
  <c r="I282" i="2"/>
  <c r="J282" i="2"/>
  <c r="H60" i="2"/>
  <c r="I60" i="2"/>
  <c r="J60" i="2"/>
  <c r="H61" i="2"/>
  <c r="I61" i="2"/>
  <c r="J61" i="2"/>
  <c r="H347" i="2"/>
  <c r="I347" i="2"/>
  <c r="J347" i="2"/>
  <c r="H62" i="2"/>
  <c r="I62" i="2"/>
  <c r="J62" i="2"/>
  <c r="H63" i="2"/>
  <c r="I63" i="2"/>
  <c r="J63" i="2"/>
  <c r="H261" i="2"/>
  <c r="I261" i="2"/>
  <c r="J261" i="2"/>
  <c r="H165" i="2"/>
  <c r="I165" i="2"/>
  <c r="J165" i="2"/>
  <c r="H166" i="2"/>
  <c r="I166" i="2"/>
  <c r="J166" i="2"/>
  <c r="H200" i="2"/>
  <c r="I200" i="2"/>
  <c r="J200" i="2"/>
  <c r="H190" i="2"/>
  <c r="I190" i="2"/>
  <c r="J190" i="2"/>
  <c r="H417" i="2"/>
  <c r="I417" i="2"/>
  <c r="J417" i="2"/>
  <c r="H328" i="2"/>
  <c r="I328" i="2"/>
  <c r="J328" i="2"/>
  <c r="H199" i="2"/>
  <c r="I199" i="2"/>
  <c r="J199" i="2"/>
  <c r="H237" i="2"/>
  <c r="I237" i="2"/>
  <c r="J237" i="2"/>
  <c r="H250" i="2"/>
  <c r="I250" i="2"/>
  <c r="J250" i="2"/>
  <c r="H219" i="2"/>
  <c r="I219" i="2"/>
  <c r="J219" i="2"/>
  <c r="H286" i="2"/>
  <c r="I286" i="2"/>
  <c r="J286" i="2"/>
  <c r="H256" i="2"/>
  <c r="I256" i="2"/>
  <c r="J256" i="2"/>
  <c r="H381" i="2"/>
  <c r="I381" i="2"/>
  <c r="J381" i="2"/>
  <c r="H64" i="2"/>
  <c r="I64" i="2"/>
  <c r="J64" i="2"/>
  <c r="H365" i="2"/>
  <c r="I365" i="2"/>
  <c r="J365" i="2"/>
  <c r="H354" i="2"/>
  <c r="I354" i="2"/>
  <c r="J354" i="2"/>
  <c r="H65" i="2"/>
  <c r="I65" i="2"/>
  <c r="J65" i="2"/>
  <c r="H390" i="2"/>
  <c r="I390" i="2"/>
  <c r="J390" i="2"/>
  <c r="H383" i="2"/>
  <c r="I383" i="2"/>
  <c r="J383" i="2"/>
  <c r="H269" i="2"/>
  <c r="I269" i="2"/>
  <c r="J269" i="2"/>
  <c r="H377" i="2"/>
  <c r="I377" i="2"/>
  <c r="J377" i="2"/>
  <c r="H314" i="2"/>
  <c r="I314" i="2"/>
  <c r="J314" i="2"/>
  <c r="H350" i="2"/>
  <c r="I350" i="2"/>
  <c r="J350" i="2"/>
  <c r="H401" i="2"/>
  <c r="I401" i="2"/>
  <c r="J401" i="2"/>
  <c r="H379" i="2"/>
  <c r="I379" i="2"/>
  <c r="J379" i="2"/>
  <c r="H290" i="2"/>
  <c r="I290" i="2"/>
  <c r="J290" i="2"/>
  <c r="H407" i="2"/>
  <c r="I407" i="2"/>
  <c r="J407" i="2"/>
  <c r="H157" i="2"/>
  <c r="I157" i="2"/>
  <c r="J157" i="2"/>
  <c r="H66" i="2"/>
  <c r="I66" i="2"/>
  <c r="J66" i="2"/>
  <c r="H315" i="2"/>
  <c r="I315" i="2"/>
  <c r="J315" i="2"/>
  <c r="H337" i="2"/>
  <c r="I337" i="2"/>
  <c r="J337" i="2"/>
  <c r="H67" i="2"/>
  <c r="I67" i="2"/>
  <c r="J67" i="2"/>
  <c r="H68" i="2"/>
  <c r="I68" i="2"/>
  <c r="J68" i="2"/>
  <c r="H186" i="2"/>
  <c r="I186" i="2"/>
  <c r="J186" i="2"/>
  <c r="H313" i="2"/>
  <c r="I313" i="2"/>
  <c r="J313" i="2"/>
  <c r="H324" i="2"/>
  <c r="I324" i="2"/>
  <c r="J324" i="2"/>
  <c r="H247" i="2"/>
  <c r="I247" i="2"/>
  <c r="J247" i="2"/>
  <c r="H69" i="2"/>
  <c r="I69" i="2"/>
  <c r="J69" i="2"/>
  <c r="H70" i="2"/>
  <c r="I70" i="2"/>
  <c r="J70" i="2"/>
  <c r="H71" i="2"/>
  <c r="I71" i="2"/>
  <c r="J71" i="2"/>
  <c r="H177" i="2"/>
  <c r="I177" i="2"/>
  <c r="J177" i="2"/>
  <c r="H72" i="2"/>
  <c r="I72" i="2"/>
  <c r="J72" i="2"/>
  <c r="H162" i="2"/>
  <c r="I162" i="2"/>
  <c r="J162" i="2"/>
  <c r="H194" i="2"/>
  <c r="I194" i="2"/>
  <c r="J194" i="2"/>
  <c r="H73" i="2"/>
  <c r="I73" i="2"/>
  <c r="J73" i="2"/>
  <c r="H228" i="2"/>
  <c r="I228" i="2"/>
  <c r="J228" i="2"/>
  <c r="H179" i="2"/>
  <c r="I179" i="2"/>
  <c r="J179" i="2"/>
  <c r="H264" i="2"/>
  <c r="I264" i="2"/>
  <c r="J264" i="2"/>
  <c r="H209" i="2"/>
  <c r="I209" i="2"/>
  <c r="J209" i="2"/>
  <c r="H174" i="2"/>
  <c r="I174" i="2"/>
  <c r="J174" i="2"/>
  <c r="H249" i="2"/>
  <c r="I249" i="2"/>
  <c r="J249" i="2"/>
  <c r="H241" i="2"/>
  <c r="I241" i="2"/>
  <c r="J241" i="2"/>
  <c r="H367" i="2"/>
  <c r="I367" i="2"/>
  <c r="J367" i="2"/>
  <c r="H74" i="2"/>
  <c r="I74" i="2"/>
  <c r="J74" i="2"/>
  <c r="H201" i="2"/>
  <c r="I201" i="2"/>
  <c r="J201" i="2"/>
  <c r="H392" i="2"/>
  <c r="I392" i="2"/>
  <c r="J392" i="2"/>
  <c r="H75" i="2"/>
  <c r="I75" i="2"/>
  <c r="J75" i="2"/>
  <c r="H257" i="2"/>
  <c r="I257" i="2"/>
  <c r="J257" i="2"/>
  <c r="H76" i="2"/>
  <c r="I76" i="2"/>
  <c r="J76" i="2"/>
  <c r="H252" i="2"/>
  <c r="I252" i="2"/>
  <c r="J252" i="2"/>
  <c r="H161" i="2"/>
  <c r="I161" i="2"/>
  <c r="J161" i="2"/>
  <c r="H359" i="2"/>
  <c r="I359" i="2"/>
  <c r="J359" i="2"/>
  <c r="H340" i="2"/>
  <c r="I340" i="2"/>
  <c r="J340" i="2"/>
  <c r="H77" i="2"/>
  <c r="I77" i="2"/>
  <c r="J77" i="2"/>
  <c r="H173" i="2"/>
  <c r="I173" i="2"/>
  <c r="J173" i="2"/>
  <c r="H279" i="2"/>
  <c r="I279" i="2"/>
  <c r="J279" i="2"/>
  <c r="H224" i="2"/>
  <c r="I224" i="2"/>
  <c r="J224" i="2"/>
  <c r="H382" i="2"/>
  <c r="I382" i="2"/>
  <c r="J382" i="2"/>
  <c r="H78" i="2"/>
  <c r="I78" i="2"/>
  <c r="J78" i="2"/>
  <c r="H217" i="2"/>
  <c r="I217" i="2"/>
  <c r="J217" i="2"/>
  <c r="H281" i="2"/>
  <c r="I281" i="2"/>
  <c r="J281" i="2"/>
  <c r="H79" i="2"/>
  <c r="I79" i="2"/>
  <c r="J79" i="2"/>
  <c r="H283" i="2"/>
  <c r="I283" i="2"/>
  <c r="J283" i="2"/>
  <c r="H234" i="2"/>
  <c r="I234" i="2"/>
  <c r="J234" i="2"/>
  <c r="H295" i="2"/>
  <c r="I295" i="2"/>
  <c r="J295" i="2"/>
  <c r="H293" i="2"/>
  <c r="I293" i="2"/>
  <c r="J293" i="2"/>
  <c r="H235" i="2"/>
  <c r="I235" i="2"/>
  <c r="J235" i="2"/>
  <c r="H386" i="2"/>
  <c r="I386" i="2"/>
  <c r="J386" i="2"/>
  <c r="H260" i="2"/>
  <c r="I260" i="2"/>
  <c r="J260" i="2"/>
  <c r="H321" i="2"/>
  <c r="I321" i="2"/>
  <c r="J321" i="2"/>
  <c r="H292" i="2"/>
  <c r="I292" i="2"/>
  <c r="J292" i="2"/>
  <c r="H412" i="2"/>
  <c r="I412" i="2"/>
  <c r="J412" i="2"/>
  <c r="H404" i="2"/>
  <c r="I404" i="2"/>
  <c r="J404" i="2"/>
  <c r="H376" i="2"/>
  <c r="I376" i="2"/>
  <c r="J376" i="2"/>
  <c r="H285" i="2"/>
  <c r="I285" i="2"/>
  <c r="J285" i="2"/>
  <c r="H394" i="2"/>
  <c r="I394" i="2"/>
  <c r="J394" i="2"/>
  <c r="H267" i="2"/>
  <c r="I267" i="2"/>
  <c r="J267" i="2"/>
  <c r="H80" i="2"/>
  <c r="I80" i="2"/>
  <c r="J80" i="2"/>
  <c r="H81" i="2"/>
  <c r="I81" i="2"/>
  <c r="J81" i="2"/>
  <c r="H335" i="2"/>
  <c r="I335" i="2"/>
  <c r="J335" i="2"/>
  <c r="H82" i="2"/>
  <c r="I82" i="2"/>
  <c r="J82" i="2"/>
  <c r="H83" i="2"/>
  <c r="I83" i="2"/>
  <c r="J83" i="2"/>
  <c r="H299" i="2"/>
  <c r="I299" i="2"/>
  <c r="J299" i="2"/>
  <c r="H346" i="2"/>
  <c r="I346" i="2"/>
  <c r="J346" i="2"/>
  <c r="H84" i="2"/>
  <c r="I84" i="2"/>
  <c r="J84" i="2"/>
  <c r="H287" i="2"/>
  <c r="I287" i="2"/>
  <c r="J287" i="2"/>
  <c r="H188" i="2"/>
  <c r="I188" i="2"/>
  <c r="J188" i="2"/>
  <c r="H149" i="2"/>
  <c r="I149" i="2"/>
  <c r="J149" i="2"/>
  <c r="H251" i="2"/>
  <c r="I251" i="2"/>
  <c r="J251" i="2"/>
  <c r="H405" i="2"/>
  <c r="I405" i="2"/>
  <c r="J405" i="2"/>
  <c r="H371" i="2"/>
  <c r="I371" i="2"/>
  <c r="J371" i="2"/>
  <c r="H148" i="2"/>
  <c r="I148" i="2"/>
  <c r="J148" i="2"/>
  <c r="H331" i="2"/>
  <c r="I331" i="2"/>
  <c r="J331" i="2"/>
  <c r="H311" i="2"/>
  <c r="I311" i="2"/>
  <c r="J311" i="2"/>
  <c r="H195" i="2"/>
  <c r="I195" i="2"/>
  <c r="J195" i="2"/>
  <c r="H262" i="2"/>
  <c r="I262" i="2"/>
  <c r="J262" i="2"/>
  <c r="H255" i="2"/>
  <c r="I255" i="2"/>
  <c r="J255" i="2"/>
  <c r="H305" i="2"/>
  <c r="I305" i="2"/>
  <c r="J305" i="2"/>
  <c r="H220" i="2"/>
  <c r="I220" i="2"/>
  <c r="J220" i="2"/>
  <c r="H236" i="2"/>
  <c r="I236" i="2"/>
  <c r="J236" i="2"/>
  <c r="H301" i="2"/>
  <c r="I301" i="2"/>
  <c r="J301" i="2"/>
  <c r="H306" i="2"/>
  <c r="I306" i="2"/>
  <c r="J306" i="2"/>
  <c r="H265" i="2"/>
  <c r="I265" i="2"/>
  <c r="J265" i="2"/>
  <c r="H389" i="2"/>
  <c r="I389" i="2"/>
  <c r="J389" i="2"/>
  <c r="H316" i="2"/>
  <c r="I316" i="2"/>
  <c r="J316" i="2"/>
  <c r="H364" i="2"/>
  <c r="I364" i="2"/>
  <c r="J364" i="2"/>
  <c r="H318" i="2"/>
  <c r="I318" i="2"/>
  <c r="J318" i="2"/>
  <c r="H229" i="2"/>
  <c r="I229" i="2"/>
  <c r="J229" i="2"/>
  <c r="H85" i="2"/>
  <c r="I85" i="2"/>
  <c r="J85" i="2"/>
  <c r="H86" i="2"/>
  <c r="I86" i="2"/>
  <c r="J86" i="2"/>
  <c r="H87" i="2"/>
  <c r="I87" i="2"/>
  <c r="J87" i="2"/>
  <c r="H238" i="2"/>
  <c r="I238" i="2"/>
  <c r="J238" i="2"/>
  <c r="H88" i="2"/>
  <c r="I88" i="2"/>
  <c r="J88" i="2"/>
  <c r="H156" i="2"/>
  <c r="I156" i="2"/>
  <c r="J156" i="2"/>
  <c r="H89" i="2"/>
  <c r="I89" i="2"/>
  <c r="J89" i="2"/>
  <c r="H402" i="2"/>
  <c r="I402" i="2"/>
  <c r="J402" i="2"/>
  <c r="H263" i="2"/>
  <c r="I263" i="2"/>
  <c r="J263" i="2"/>
  <c r="H90" i="2"/>
  <c r="I90" i="2"/>
  <c r="J90" i="2"/>
  <c r="H332" i="2"/>
  <c r="I332" i="2"/>
  <c r="J332" i="2"/>
  <c r="H280" i="2"/>
  <c r="I280" i="2"/>
  <c r="J280" i="2"/>
  <c r="H91" i="2"/>
  <c r="I91" i="2"/>
  <c r="J91" i="2"/>
  <c r="H414" i="2"/>
  <c r="I414" i="2"/>
  <c r="J414" i="2"/>
  <c r="H396" i="2"/>
  <c r="I396" i="2"/>
  <c r="J396" i="2"/>
  <c r="H369" i="2"/>
  <c r="I369" i="2"/>
  <c r="J369" i="2"/>
  <c r="H92" i="2"/>
  <c r="I92" i="2"/>
  <c r="J92" i="2"/>
  <c r="H304" i="2"/>
  <c r="I304" i="2"/>
  <c r="J304" i="2"/>
  <c r="H176" i="2"/>
  <c r="I176" i="2"/>
  <c r="J176" i="2"/>
  <c r="H197" i="2"/>
  <c r="I197" i="2"/>
  <c r="J197" i="2"/>
  <c r="H353" i="2"/>
  <c r="I353" i="2"/>
  <c r="J353" i="2"/>
  <c r="H360" i="2"/>
  <c r="I360" i="2"/>
  <c r="J360" i="2"/>
  <c r="H310" i="2"/>
  <c r="I310" i="2"/>
  <c r="J310" i="2"/>
  <c r="H388" i="2"/>
  <c r="I388" i="2"/>
  <c r="J388" i="2"/>
  <c r="H274" i="2"/>
  <c r="I274" i="2"/>
  <c r="J274" i="2"/>
  <c r="H413" i="2"/>
  <c r="I413" i="2"/>
  <c r="J413" i="2"/>
  <c r="H403" i="2"/>
  <c r="I403" i="2"/>
  <c r="J403" i="2"/>
  <c r="H275" i="2"/>
  <c r="I275" i="2"/>
  <c r="J275" i="2"/>
  <c r="H155" i="2"/>
  <c r="I155" i="2"/>
  <c r="J155" i="2"/>
  <c r="H421" i="2"/>
  <c r="I421" i="2"/>
  <c r="J421" i="2"/>
  <c r="H154" i="2"/>
  <c r="I154" i="2"/>
  <c r="J154" i="2"/>
  <c r="H327" i="2"/>
  <c r="I327" i="2"/>
  <c r="J327" i="2"/>
  <c r="H183" i="2"/>
  <c r="I183" i="2"/>
  <c r="J183" i="2"/>
  <c r="H205" i="2"/>
  <c r="I205" i="2"/>
  <c r="J205" i="2"/>
  <c r="H368" i="2"/>
  <c r="I368" i="2"/>
  <c r="J368" i="2"/>
  <c r="H341" i="2"/>
  <c r="I341" i="2"/>
  <c r="J341" i="2"/>
  <c r="H363" i="2"/>
  <c r="I363" i="2"/>
  <c r="J363" i="2"/>
  <c r="H409" i="2"/>
  <c r="I409" i="2"/>
  <c r="J409" i="2"/>
  <c r="H231" i="2"/>
  <c r="I231" i="2"/>
  <c r="J231" i="2"/>
  <c r="H418" i="2"/>
  <c r="I418" i="2"/>
  <c r="J418" i="2"/>
  <c r="H137" i="2"/>
  <c r="I137" i="2"/>
  <c r="J137" i="2"/>
  <c r="H246" i="2"/>
  <c r="I246" i="2"/>
  <c r="J246" i="2"/>
  <c r="H351" i="2"/>
  <c r="I351" i="2"/>
  <c r="J351" i="2"/>
  <c r="H355" i="2"/>
  <c r="I355" i="2"/>
  <c r="J355" i="2"/>
  <c r="H278" i="2"/>
  <c r="I278" i="2"/>
  <c r="J278" i="2"/>
  <c r="H380" i="2"/>
  <c r="I380" i="2"/>
  <c r="J380" i="2"/>
  <c r="H393" i="2"/>
  <c r="I393" i="2"/>
  <c r="J393" i="2"/>
  <c r="H391" i="2"/>
  <c r="I391" i="2"/>
  <c r="J391" i="2"/>
  <c r="H93" i="2"/>
  <c r="I93" i="2"/>
  <c r="J93" i="2"/>
  <c r="H370" i="2"/>
  <c r="I370" i="2"/>
  <c r="J370" i="2"/>
  <c r="H352" i="2"/>
  <c r="I352" i="2"/>
  <c r="J352" i="2"/>
  <c r="H312" i="2"/>
  <c r="I312" i="2"/>
  <c r="J312" i="2"/>
  <c r="H273" i="2"/>
  <c r="I273" i="2"/>
  <c r="J273" i="2"/>
  <c r="H298" i="2"/>
  <c r="I298" i="2"/>
  <c r="J298" i="2"/>
  <c r="H94" i="2"/>
  <c r="I94" i="2"/>
  <c r="J94" i="2"/>
  <c r="H398" i="2"/>
  <c r="I398" i="2"/>
  <c r="J398" i="2"/>
  <c r="H153" i="2"/>
  <c r="I153" i="2"/>
  <c r="J153" i="2"/>
  <c r="H95" i="2"/>
  <c r="I95" i="2"/>
  <c r="J95" i="2"/>
  <c r="H348" i="2"/>
  <c r="I348" i="2"/>
  <c r="J348" i="2"/>
  <c r="H400" i="2"/>
  <c r="I400" i="2"/>
  <c r="J400" i="2"/>
  <c r="H338" i="2"/>
  <c r="I338" i="2"/>
  <c r="J338" i="2"/>
  <c r="H416" i="2"/>
  <c r="I416" i="2"/>
  <c r="J416" i="2"/>
  <c r="H320" i="2"/>
  <c r="I320" i="2"/>
  <c r="J320" i="2"/>
  <c r="H378" i="2"/>
  <c r="I378" i="2"/>
  <c r="J378" i="2"/>
  <c r="H395" i="2"/>
  <c r="I395" i="2"/>
  <c r="J395" i="2"/>
  <c r="H339" i="2"/>
  <c r="I339" i="2"/>
  <c r="J339" i="2"/>
  <c r="H325" i="2"/>
  <c r="I325" i="2"/>
  <c r="J325" i="2"/>
  <c r="H189" i="2"/>
  <c r="I189" i="2"/>
  <c r="J189" i="2"/>
  <c r="H289" i="2"/>
  <c r="I289" i="2"/>
  <c r="J289" i="2"/>
  <c r="H152" i="2"/>
  <c r="I152" i="2"/>
  <c r="J152" i="2"/>
  <c r="H233" i="2"/>
  <c r="I233" i="2"/>
  <c r="J233" i="2"/>
  <c r="H420" i="2"/>
  <c r="I420" i="2"/>
  <c r="J420" i="2"/>
  <c r="H419" i="2"/>
  <c r="I419" i="2"/>
  <c r="J419" i="2"/>
  <c r="H408" i="2"/>
  <c r="I408" i="2"/>
  <c r="J408" i="2"/>
  <c r="H147" i="2"/>
  <c r="I147" i="2"/>
  <c r="J147" i="2"/>
  <c r="H326" i="2"/>
  <c r="I326" i="2"/>
  <c r="J326" i="2"/>
  <c r="H423" i="2"/>
  <c r="I423" i="2"/>
  <c r="J423" i="2"/>
  <c r="H336" i="2"/>
  <c r="I336" i="2"/>
  <c r="J336" i="2"/>
  <c r="H422" i="2"/>
  <c r="I422" i="2"/>
  <c r="J422" i="2"/>
  <c r="H415" i="2"/>
  <c r="I415" i="2"/>
  <c r="J415" i="2"/>
  <c r="H97" i="2"/>
  <c r="I97" i="2"/>
  <c r="J97" i="2"/>
  <c r="J96" i="2"/>
  <c r="I96" i="2"/>
  <c r="H96" i="2"/>
  <c r="L25" i="1"/>
  <c r="K25" i="1"/>
  <c r="J25" i="1"/>
</calcChain>
</file>

<file path=xl/sharedStrings.xml><?xml version="1.0" encoding="utf-8"?>
<sst xmlns="http://schemas.openxmlformats.org/spreadsheetml/2006/main" count="1261" uniqueCount="440">
  <si>
    <t>link</t>
  </si>
  <si>
    <t>total discus</t>
  </si>
  <si>
    <t>after accepted discus</t>
  </si>
  <si>
    <t>after accepted answers</t>
  </si>
  <si>
    <t>after accepted comments</t>
  </si>
  <si>
    <t>active period</t>
  </si>
  <si>
    <t>https://stackoverflow.com/questions/49156/importing-javascript-in-jsp-tags</t>
  </si>
  <si>
    <t>https://stackoverflow.com/questions/93911/how-can-you-run-javascript-using-rhino-for-java-in-a-sandbox</t>
  </si>
  <si>
    <t>https://stackoverflow.com/questions/126781/c-union-in-c-sharp</t>
  </si>
  <si>
    <t>https://stackoverflow.com/questions/148071/problem-using-large-binary-segment-in-ooxml</t>
  </si>
  <si>
    <t>https://stackoverflow.com/questions/210978/using-os-execvp-in-python</t>
  </si>
  <si>
    <t>https://stackoverflow.com/questions/213628/how-to-convert-a-c-string-char-array-into-a-python-string-when-there-are-non-a</t>
  </si>
  <si>
    <t>https://stackoverflow.com/questions/419240/how-to-get-javascript-function-data-into-a-php-variable</t>
  </si>
  <si>
    <t>https://stackoverflow.com/questions/438594/how-to-call-java-objects-and-functions-from-cpython</t>
  </si>
  <si>
    <t>https://stackoverflow.com/questions/531311/how-can-i-generate-dynamic-javascript</t>
  </si>
  <si>
    <t>https://stackoverflow.com/questions/726410/serialize-in-c-then-deserialize-in-c</t>
  </si>
  <si>
    <t>https://stackoverflow.com/questions/729562/how-to-compile-c-sharp-application-with-c-static-library</t>
  </si>
  <si>
    <t>https://stackoverflow.com/questions/799076/returning-a-stdstring-from-a-c-dll-to-a-c-sharp-program-invalid-address-s</t>
  </si>
  <si>
    <t>https://stackoverflow.com/questions/808692/creating-an-interactive-shell-for-net-apps-and-embed-scripting-languages-like-p</t>
  </si>
  <si>
    <t>https://stackoverflow.com/questions/835259/show-hide-fields-depending-on-select-value</t>
  </si>
  <si>
    <t>https://stackoverflow.com/questions/911034/how-to-debug-jni-c-library</t>
  </si>
  <si>
    <t>https://stackoverflow.com/questions/935664/possible-to-call-c-code-from-c</t>
  </si>
  <si>
    <t>https://stackoverflow.com/questions/1014584/force-java-to-call-my-c-destructor-jni</t>
  </si>
  <si>
    <t>https://stackoverflow.com/questions/1119696/java-python-integration</t>
  </si>
  <si>
    <t>https://stackoverflow.com/questions/1153577/integrate-python-and-c</t>
  </si>
  <si>
    <t>https://stackoverflow.com/questions/1161142/not-receiving-callbacks-from-the-java-access-bridge</t>
  </si>
  <si>
    <t>https://stackoverflow.com/questions/1199470/combine-javascript-files-at-deployment-in-python</t>
  </si>
  <si>
    <t>https://stackoverflow.com/questions/1224793/javascript-serialization-of-datetime-in-asp-net-is-not-giving-a-javascript-date</t>
  </si>
  <si>
    <t>https://stackoverflow.com/questions/1309509/correct-way-to-marshal-size-t</t>
  </si>
  <si>
    <t>https://stackoverflow.com/questions/1377278/passing-json-encoded-variable-from-php-to-javascript-via-post</t>
  </si>
  <si>
    <t>https://stackoverflow.com/questions/1533916/how-to-set-up-a-c-function-so-that-it-can-be-used-by-p-invoke</t>
  </si>
  <si>
    <t>https://stackoverflow.com/questions/1662769/rsa-encryption-java-to-php</t>
  </si>
  <si>
    <t>https://stackoverflow.com/questions/1698801/passing-php-array-into-javascript-through-json-to-update-google-chart</t>
  </si>
  <si>
    <t>https://stackoverflow.com/questions/1917576/how-do-i-pass-javascript-variables-to-php</t>
  </si>
  <si>
    <t>https://stackoverflow.com/questions/1942298/wrapping-a-c-library-in-python-c-cython-or-ctypes</t>
  </si>
  <si>
    <t>https://stackoverflow.com/questions/1953731/python-pytables-java-tying-all-together</t>
  </si>
  <si>
    <t>https://stackoverflow.com/questions/1711490/returning-a-c-class-to-java-via-jni</t>
  </si>
  <si>
    <t>https://stackoverflow.com/questions/2011311/running-java-with-java-opts-env-variable-has-no-effect</t>
  </si>
  <si>
    <t>https://stackoverflow.com/questions/2087840/add-a-reference-from-a-c-sharp-app-to-a-dll-compiled-without-clr</t>
  </si>
  <si>
    <t>https://stackoverflow.com/questions/2179601/good-php-framework-for-fully-ajax-based-web-applications</t>
  </si>
  <si>
    <t>https://stackoverflow.com/questions/2211867/how-do-i-call-c-cli-from-c</t>
  </si>
  <si>
    <t>https://stackoverflow.com/questions/2219982/getting-php-to-run-a-python-script</t>
  </si>
  <si>
    <t>https://stackoverflow.com/questions/2228275/java-generics-and-jni</t>
  </si>
  <si>
    <t>https://stackoverflow.com/questions/2356098/what-is-the-best-tool-for-performance-regression-testing</t>
  </si>
  <si>
    <t>https://stackoverflow.com/questions/2381241/what-is-the-subprocess-popen-max-length-of-the-args-parameter</t>
  </si>
  <si>
    <t>https://stackoverflow.com/questions/2408771/how-to-get-selected-value-from-dropdownlist-in-asp-net-using-javascript</t>
  </si>
  <si>
    <t>https://stackoverflow.com/questions/2462230/interacting-with-java-code-from-c-sharp</t>
  </si>
  <si>
    <t>https://stackoverflow.com/questions/2532907/combining-c-and-c-sharp</t>
  </si>
  <si>
    <t>https://stackoverflow.com/questions/2562648/json-limitation</t>
  </si>
  <si>
    <t>https://stackoverflow.com/questions/2566764/encode-compress-sequence-of-repeating-integers</t>
  </si>
  <si>
    <t>https://stackoverflow.com/questions/2663429/what-is-the-best-way-to-identify-which-form-has-been-submitted</t>
  </si>
  <si>
    <t>https://stackoverflow.com/questions/2692873/quote-posix-shell-special-characters-in-python-output</t>
  </si>
  <si>
    <t>https://stackoverflow.com/questions/2753056/jquery-get-only-passing-first-two-data-parameters-in-url</t>
  </si>
  <si>
    <t>https://stackoverflow.com/questions/2774074/best-practice-user-generated-html-cleaning</t>
  </si>
  <si>
    <t>https://stackoverflow.com/questions/2842079/how-can-i-pass-a-javascript-function-to-a-java-method-to-act-as-a-callback-rhin</t>
  </si>
  <si>
    <t>https://stackoverflow.com/questions/2853725/whats-the-best-way-to-debug-ajax-to-php-calls</t>
  </si>
  <si>
    <t>https://stackoverflow.com/questions/2874603/is-it-possible-to-embed-c-code-in-a-c-sharp-project</t>
  </si>
  <si>
    <t>https://stackoverflow.com/questions/2885822/which-logging-library-to-use-for-cross-language-java-c-python-system</t>
  </si>
  <si>
    <t>https://stackoverflow.com/questions/2941960/a-call-to-pinvoke-function-has-unbalanced-the-stack</t>
  </si>
  <si>
    <t>https://stackoverflow.com/questions/3074614/how-do-you-fight-against-all-these-ways-javascript-and-its-million-different-w</t>
  </si>
  <si>
    <t>https://stackoverflow.com/questions/3124636/detect-ajax-calling-url</t>
  </si>
  <si>
    <t>https://stackoverflow.com/questions/3128709/adding-facebook-connect-to-a-codeigniter-website</t>
  </si>
  <si>
    <t>https://stackoverflow.com/questions/3146017/how-do-i-share-a-constant-between-c-sharp-and-c-code</t>
  </si>
  <si>
    <t>https://stackoverflow.com/questions/3121367/php-script-malicious-javascript-code-at-the-end</t>
  </si>
  <si>
    <t>https://stackoverflow.com/questions/3259967/sending-displaying-a-base64-encoded-image</t>
  </si>
  <si>
    <t>https://stackoverflow.com/questions/3260259/output-jstl-escaped</t>
  </si>
  <si>
    <t>https://stackoverflow.com/questions/3333182/speeding-up-ajax-requests-can-gzip-compression-be-applied</t>
  </si>
  <si>
    <t>https://stackoverflow.com/questions/3397513/how-do-i-access-return-value-of-a-java-method-returning-java-lang-string-from-c</t>
  </si>
  <si>
    <t>https://stackoverflow.com/questions/3400381/calling-a-python-script-from-command-line-without-typing-python-first</t>
  </si>
  <si>
    <t>https://stackoverflow.com/questions/1496731/how-do-i-remove-unnecessary-resources-from-my-project</t>
  </si>
  <si>
    <t>https://stackoverflow.com/questions/3431950/rijndael-256-encrypt-decrypt-between-c-sharp-and-php</t>
  </si>
  <si>
    <t>https://stackoverflow.com/questions/3456345/gwt-how-to-return-and-handle-an-error-from-multipart-form-file-upload</t>
  </si>
  <si>
    <t>https://stackoverflow.com/questions/3476762/java-hangs-even-though-scripts-execution-is-completed</t>
  </si>
  <si>
    <t>https://stackoverflow.com/questions/3544240/conditional-ctypedef-with-cython</t>
  </si>
  <si>
    <t>https://stackoverflow.com/questions/3628601/how-fast-is-client-side-javascript-versus-server-side-java</t>
  </si>
  <si>
    <t>https://stackoverflow.com/questions/3632283/does-accesscontroller-doprivileged-give-javascript-threads-the-permissions-of-th</t>
  </si>
  <si>
    <t>https://stackoverflow.com/questions/3752231/socket-no-route-to-host-error</t>
  </si>
  <si>
    <t>https://stackoverflow.com/questions/3774108/python-vs-lua-for-embedded-scripting-text-processing-engine</t>
  </si>
  <si>
    <t>https://stackoverflow.com/questions/3776485/marshal-c-int-array-to-c-sharp</t>
  </si>
  <si>
    <t>https://stackoverflow.com/questions/3789881/create-and-call-python-function-from-string-via-c-api</t>
  </si>
  <si>
    <t>https://stackoverflow.com/questions/3819071/asp-net-scriptservice-deserialization-problem-with-derived-types</t>
  </si>
  <si>
    <t>https://stackoverflow.com/questions/4058423/how-can-i-serve-a-dynamic-javascript-file-from-wicket</t>
  </si>
  <si>
    <t>https://stackoverflow.com/questions/4086817/l-prefix-for-strings-in-c</t>
  </si>
  <si>
    <t>https://stackoverflow.com/questions/4107728/does-https-connection-disabled-jquery</t>
  </si>
  <si>
    <t>https://stackoverflow.com/questions/4167233/how-do-i-pass-arrays-from-java-to-c-using-swig</t>
  </si>
  <si>
    <t>https://stackoverflow.com/questions/4259170/python-setup-script-extensions-how-do-you-include-a-h-file</t>
  </si>
  <si>
    <t>https://stackoverflow.com/questions/4276205/do-i-need-node-js-in-python-like-i-would-with-php</t>
  </si>
  <si>
    <t>https://stackoverflow.com/questions/4324819/pass-data-between-java-and-c</t>
  </si>
  <si>
    <t>https://stackoverflow.com/questions/4354411/debugging-native-code-when-called-from-managed</t>
  </si>
  <si>
    <t>https://stackoverflow.com/questions/4365738/how-to-access-php-session-variables-from-jquery-function-in-a-js-file</t>
  </si>
  <si>
    <t>https://stackoverflow.com/questions/4377109/shell-script-execute-a-python-program-from-within-a-shell-script</t>
  </si>
  <si>
    <t>https://stackoverflow.com/questions/4421832/compiling-python-to-c-using-cython</t>
  </si>
  <si>
    <t>https://stackoverflow.com/questions/4541565/how-can-i-assert-from-python-c-code</t>
  </si>
  <si>
    <t>https://stackoverflow.com/questions/4591461/marshalling-a-char-in-c-sharp</t>
  </si>
  <si>
    <t>https://stackoverflow.com/questions/4619996/how-to-run-ruby-python-scripts-from-inside-php-passing-and-receiving-parameters</t>
  </si>
  <si>
    <t>https://stackoverflow.com/questions/5051059/codeigniter-and-javascript-jquery-library</t>
  </si>
  <si>
    <t>https://stackoverflow.com/questions/5058688/cant-post-large-html5-canvas-to-server</t>
  </si>
  <si>
    <t>https://stackoverflow.com/questions/5169434/content-transfer-encoding-in-file-uploading-request</t>
  </si>
  <si>
    <t>https://stackoverflow.com/questions/5182857/can-i-use-fabric-to-perform-interactive-shell-commands</t>
  </si>
  <si>
    <t>https://stackoverflow.com/questions/5236690/float-from-c-to-c-sharp</t>
  </si>
  <si>
    <t>https://stackoverflow.com/questions/5310216/passing-php-variable-into-javascript</t>
  </si>
  <si>
    <t>https://stackoverflow.com/questions/5367515/how-to-call-a-c-dll-exported-function-from-c-sharp</t>
  </si>
  <si>
    <t>https://stackoverflow.com/questions/5449067/gwt-2-x-entry-function</t>
  </si>
  <si>
    <t>https://stackoverflow.com/questions/5522063/serving-php-as-css-js-is-it-fast-enough-what-drawbacks-are-there</t>
  </si>
  <si>
    <t>https://stackoverflow.com/questions/5549562/running-php-script-php-function-in-linux-bash</t>
  </si>
  <si>
    <t>https://stackoverflow.com/questions/4746249/get-user-timezone</t>
  </si>
  <si>
    <t>https://stackoverflow.com/questions/5610333/how-to-query-database-using-javascript</t>
  </si>
  <si>
    <t>https://stackoverflow.com/questions/5700186/meta-programming-into-several-output-languages</t>
  </si>
  <si>
    <t>https://stackoverflow.com/questions/5664737/calling-c-dll-from-c-sharp</t>
  </si>
  <si>
    <t>https://stackoverflow.com/questions/5719471/md5-hash-discrepancy-between-python-and-php</t>
  </si>
  <si>
    <t>https://stackoverflow.com/questions/5965655/communication-between-php-and-python</t>
  </si>
  <si>
    <t>https://stackoverflow.com/questions/6089214/how-do-i-marshal-wchar-t-from-c-to-c-sharp-as-an-out-parameter-or-return-valu</t>
  </si>
  <si>
    <t>https://stackoverflow.com/questions/6111843/limitations-of-pytuple-setitem</t>
  </si>
  <si>
    <t>https://stackoverflow.com/questions/6314320/designing-javascript-frontend-c-backend-communication</t>
  </si>
  <si>
    <t>https://stackoverflow.com/questions/6336094/jquery-autocomplete-in-background-of-input-text-box</t>
  </si>
  <si>
    <t>https://stackoverflow.com/questions/6354358/c-dll-returned-string-is-corrupted-in-the-c-sharp-caller-why</t>
  </si>
  <si>
    <t>https://stackoverflow.com/questions/6270245/return-c-object-to-java</t>
  </si>
  <si>
    <t>https://stackoverflow.com/questions/6407034/can-java-interact-with-system-v-linux-message-queues</t>
  </si>
  <si>
    <t>https://stackoverflow.com/questions/6444131/using-a-python-script-in-java-eclipse</t>
  </si>
  <si>
    <t>https://stackoverflow.com/questions/6536826/dealing-with-commas-in-csv</t>
  </si>
  <si>
    <t>https://stackoverflow.com/questions/6544416/php-vs-c-cgi-for-small-web-service</t>
  </si>
  <si>
    <t>https://stackoverflow.com/questions/6619931/how-should-an-array-be-passed-to-a-javascript-function-from-c</t>
  </si>
  <si>
    <t>https://stackoverflow.com/questions/6649125/calling-java-methods-in-javascript-code</t>
  </si>
  <si>
    <t>https://stackoverflow.com/questions/6866464/com-safearray-of-guids-returned-from-c-to-c-sharp</t>
  </si>
  <si>
    <t>https://stackoverflow.com/questions/6872482/how-to-write-javascript-in-the-code-behind-file</t>
  </si>
  <si>
    <t>https://stackoverflow.com/questions/7033953/python-cgi-program-wants-to-know-the-ip-address-of-the-calling-web-page</t>
  </si>
  <si>
    <t>https://stackoverflow.com/questions/7045764/scraping-javascript-variables-to-php</t>
  </si>
  <si>
    <t>https://stackoverflow.com/questions/7057022/is-it-safe-to-keep-c-pointers-in-c</t>
  </si>
  <si>
    <t>https://stackoverflow.com/questions/7067512/jquery-cannot-change-a-value-where-js-can-because-the-library-is-out-of-date</t>
  </si>
  <si>
    <t>https://stackoverflow.com/questions/7229027/how-to-get-data-to-javascript-from-php-using-json-encode</t>
  </si>
  <si>
    <t>https://stackoverflow.com/questions/7276389/confused-over-dll-entry-points-entry-point-not-found-exception</t>
  </si>
  <si>
    <t>https://stackoverflow.com/questions/7309838/improper-marshaling-c-sharp-array-to-a-c-unmanaged-array</t>
  </si>
  <si>
    <t>https://stackoverflow.com/questions/7322420/calling-javascript-object-method-using-webbrowser-document-invokescript</t>
  </si>
  <si>
    <t>https://stackoverflow.com/questions/7559676/how-to-correctly-deserialize-a-json-string-into-the-class-that-contains-a-nested</t>
  </si>
  <si>
    <t>https://stackoverflow.com/questions/7598431/adding-jquery-to-magento</t>
  </si>
  <si>
    <t>https://stackoverflow.com/questions/7672792/calling-c-exe-functions-from-c-sharp</t>
  </si>
  <si>
    <t>https://stackoverflow.com/questions/7691599/execute-python-script-with-function-from-command-line-linux</t>
  </si>
  <si>
    <t>https://stackoverflow.com/questions/7699172/check-uncheck-all-checkboxes-with-javascript-in-a-php-array-with-keys</t>
  </si>
  <si>
    <t>https://stackoverflow.com/questions/7700446/java-app-calls-c-dll-via-jni-how-best-to-allocate-memory</t>
  </si>
  <si>
    <t>https://stackoverflow.com/questions/7919856/how-to-use-websockets-with-play-framework</t>
  </si>
  <si>
    <t>https://stackoverflow.com/questions/8089351/exec-any-command-in-c</t>
  </si>
  <si>
    <t>https://stackoverflow.com/questions/8102244/swig-c-to-python-warning362-operator-ignored</t>
  </si>
  <si>
    <t>https://stackoverflow.com/questions/8241732/application-exits-no-exception-when-referencing-64bit-dll-from-c-sharp</t>
  </si>
  <si>
    <t>https://stackoverflow.com/questions/8295645/cython-vector-operations</t>
  </si>
  <si>
    <t>https://stackoverflow.com/questions/8358375/how-to-return-int-array-from-java-to-jni</t>
  </si>
  <si>
    <t>https://stackoverflow.com/questions/8450481/method-without-return-value-in-python-c-extension-module</t>
  </si>
  <si>
    <t>https://stackoverflow.com/questions/8525193/how-to-install-jpype-on-os-x-lion-to-use-with-neo4j</t>
  </si>
  <si>
    <t>https://stackoverflow.com/questions/8546061/best-way-to-secure-javascript-front-end-rest-back-end-architecture-web-site</t>
  </si>
  <si>
    <t>https://stackoverflow.com/questions/8599595/send-json-data-from-javascript-to-php</t>
  </si>
  <si>
    <t>https://stackoverflow.com/questions/8638984/send-post-data-to-php-without-using-an-html-form</t>
  </si>
  <si>
    <t>https://stackoverflow.com/questions/8654519/what-happens-if-i-call-a-java-function-from-multiple-threads-from-c-with-jni</t>
  </si>
  <si>
    <t>https://stackoverflow.com/questions/8688400/using-managed-threads-and-fibers-in-clr</t>
  </si>
  <si>
    <t>https://stackoverflow.com/questions/8644289/adding-values-from-c-sharp-to-div-via-javascript</t>
  </si>
  <si>
    <t>https://stackoverflow.com/questions/8866738/speed-of-php-vs-javascript</t>
  </si>
  <si>
    <t>https://stackoverflow.com/questions/8884480/starting-and-killing-java-app-with-shell-script-debian</t>
  </si>
  <si>
    <t>https://stackoverflow.com/questions/8897642/submitting-from-jquery-to-php</t>
  </si>
  <si>
    <t>https://stackoverflow.com/questions/8911075/javascript-and-java-date-json-serialization</t>
  </si>
  <si>
    <t>https://stackoverflow.com/questions/9001526/send-array-with-ajax-to-php-script</t>
  </si>
  <si>
    <t>https://stackoverflow.com/questions/8933263/how-do-i-wrap-a-c-class-with-cython</t>
  </si>
  <si>
    <t>https://stackoverflow.com/questions/9444342/adding-a-javascript-script-tag-some-place-so-that-it-works-for-every-file-in-sph</t>
  </si>
  <si>
    <t>https://stackoverflow.com/questions/9506437/python-subprocess-call-returns-command-not-found-terminal-executes-correctly</t>
  </si>
  <si>
    <t>https://stackoverflow.com/questions/9623593/pass-javascript-variable-to-php-code</t>
  </si>
  <si>
    <t>https://stackoverflow.com/questions/9696980/php-constant-inside-js-file</t>
  </si>
  <si>
    <t>https://stackoverflow.com/questions/9745139/building-relative-urls-for-an-mvc-app-with-javascript</t>
  </si>
  <si>
    <t>https://stackoverflow.com/questions/9940381/how-to-generate-jni-header-file-in-eclipse</t>
  </si>
  <si>
    <t>https://stackoverflow.com/questions/9993465/handling-session-timeout-on-client-side</t>
  </si>
  <si>
    <t>https://stackoverflow.com/questions/10073564/how-can-i-convert-python-dictionary-to-javascript-hash-table</t>
  </si>
  <si>
    <t>https://stackoverflow.com/questions/10134963/prevent-page-scrolling-after-postback-and-maintain-position</t>
  </si>
  <si>
    <t>https://stackoverflow.com/questions/10109700/embedding-matplotlib-in-c</t>
  </si>
  <si>
    <t>https://stackoverflow.com/questions/10256315/python-c-extensions-why-must-callable-c-functions-take-arguments-and-return-py</t>
  </si>
  <si>
    <t>https://stackoverflow.com/questions/10314645/jni-multi-threads</t>
  </si>
  <si>
    <t>https://stackoverflow.com/questions/10405515/piping-in-shell-via-python-subprocess-module</t>
  </si>
  <si>
    <t>https://stackoverflow.com/questions/10212686/social-icons-not-working-with-infinite-scrolling-on-wordpress</t>
  </si>
  <si>
    <t>https://stackoverflow.com/questions/10549872/why-cant-python-execute-java-exe-via-subprocess</t>
  </si>
  <si>
    <t>https://stackoverflow.com/questions/10561212/parsing-namespaces-with-clang-ast-differences-in-when-including-a-header-in-ano</t>
  </si>
  <si>
    <t>https://stackoverflow.com/questions/10740479/two-way-c-to-c-sharp-communication-using-named-pipes</t>
  </si>
  <si>
    <t>https://stackoverflow.com/questions/10801258/read-argument-with-spaces-in-python-script-from-a-shell-script</t>
  </si>
  <si>
    <t>https://stackoverflow.com/questions/10903750/access-javascript-array-elements-from-c-sharp-via-webbrowser</t>
  </si>
  <si>
    <t>https://stackoverflow.com/questions/10916952/in-visual-studio-c-is-there-a-way-to-apply-web-config-transforms-to-javascript</t>
  </si>
  <si>
    <t>https://stackoverflow.com/questions/10930789/insert-backbone-js-model-into-mysql-database</t>
  </si>
  <si>
    <t>https://stackoverflow.com/questions/10936407/ajax-type-post-post-method-to-php</t>
  </si>
  <si>
    <t>https://stackoverflow.com/questions/11138929/calling-c-functions-inside-javascript</t>
  </si>
  <si>
    <t>https://stackoverflow.com/questions/11123899/passing-a-c-sharp-class-object-in-and-out-of-a-c-dll-class</t>
  </si>
  <si>
    <t>https://stackoverflow.com/questions/11430773/how-to-use-javascript-with-selenium-webdriver-java</t>
  </si>
  <si>
    <t>https://stackoverflow.com/questions/11568232/javascript-readable-json-from-python</t>
  </si>
  <si>
    <t>https://stackoverflow.com/questions/11570713/how-to-receive-json-object-in-php</t>
  </si>
  <si>
    <t>https://stackoverflow.com/questions/11643666/python-importerror-undefined-symbol-for-custom-c-module</t>
  </si>
  <si>
    <t>https://stackoverflow.com/questions/11834078/how-to-convert-zval-to-vector-for-php-extension</t>
  </si>
  <si>
    <t>https://stackoverflow.com/questions/10524365/interop-causes-unity-to-crash</t>
  </si>
  <si>
    <t>https://stackoverflow.com/questions/11873878/c-sharp-encryption-to-php-decryption</t>
  </si>
  <si>
    <t>https://stackoverflow.com/questions/11952365/accessing-an-array-of-pointers-within-a-structure-from-java-with-swig</t>
  </si>
  <si>
    <t>https://stackoverflow.com/questions/11926340/how-to-pass-a-c-object-to-another-c-object-with-boost-python</t>
  </si>
  <si>
    <t>https://stackoverflow.com/questions/10596052/stdvector-to-java-util-vector-code-generation-with-swig</t>
  </si>
  <si>
    <t>https://stackoverflow.com/questions/12558996/jquery-knob-display-number-change</t>
  </si>
  <si>
    <t>https://stackoverflow.com/questions/12717084/creating-custom-php-syntax-parser</t>
  </si>
  <si>
    <t>https://stackoverflow.com/questions/12738827/how-can-i-call-scikit-learn-classifiers-from-java</t>
  </si>
  <si>
    <t>https://stackoverflow.com/questions/13231913/how-do-i-call-a-specific-method-from-a-python-script-in-c</t>
  </si>
  <si>
    <t>https://stackoverflow.com/questions/13242098/why-should-i-embed-a-scripting-language</t>
  </si>
  <si>
    <t>https://stackoverflow.com/questions/13289171/marshalasunmanagedtype-lpstr-how-does-this-convert-utf-8-strings-to-char</t>
  </si>
  <si>
    <t>https://stackoverflow.com/questions/13322119/how-to-make-script-in-linux-use-my-interpteter-and-work</t>
  </si>
  <si>
    <t>https://stackoverflow.com/questions/13419676/assigning-the-model-to-a-javascript-variable-in-razor</t>
  </si>
  <si>
    <t>https://stackoverflow.com/questions/13454985/asp-net-set-hiddenfield-a-value-in-javascript</t>
  </si>
  <si>
    <t>https://stackoverflow.com/questions/13654561/marshalling-an-array-of-strings-from-managed-to-native-code</t>
  </si>
  <si>
    <t>https://stackoverflow.com/questions/14036004/how-to-convert-jobject-to-jstring</t>
  </si>
  <si>
    <t>https://stackoverflow.com/questions/14124695/seg-fault-in-php-extension</t>
  </si>
  <si>
    <t>https://stackoverflow.com/questions/14184993/communication-between-c-and-c-sharp-application-through-network</t>
  </si>
  <si>
    <t>https://stackoverflow.com/questions/14269798/java-jni-calls-are-slower-than-expected-at-least-2-ms-call</t>
  </si>
  <si>
    <t>https://stackoverflow.com/questions/14341549/passing-a-set-of-numpy-arrays-into-c-function-for-input-and-output</t>
  </si>
  <si>
    <t>https://stackoverflow.com/questions/14371758/can-a-python-function-taking-args-kwargs-be-called-from-c-or-another-language</t>
  </si>
  <si>
    <t>https://stackoverflow.com/questions/14482064/how-to-pass-variables-back-from-php-by-ajax</t>
  </si>
  <si>
    <t>https://stackoverflow.com/questions/14762048/subprocess-call-in-python-to-invoke-java-jar-files-with-java-opts</t>
  </si>
  <si>
    <t>https://stackoverflow.com/questions/2848359/how-to-write-javascript-in-asp-net-in-code-behind-using-c-sharp</t>
  </si>
  <si>
    <t>https://stackoverflow.com/questions/15240472/confirm-box-in-codeigniter-anchor-link-to-delete-record</t>
  </si>
  <si>
    <t>https://stackoverflow.com/questions/15300470/jquery-ajax-form-using-mail-php-script-sends-email-but-post-data-from-html-fo</t>
  </si>
  <si>
    <t>https://stackoverflow.com/questions/15321431/how-to-pass-a-list-from-python-by-jinja2-to-javascript</t>
  </si>
  <si>
    <t>https://stackoverflow.com/questions/15074566/open-source-alternative-to-addthis-addtoany-sharethis-etcfor-social-bookmarking</t>
  </si>
  <si>
    <t>https://stackoverflow.com/questions/15449428/does-the-shell-in-shell-true-in-subprocess-means-bash</t>
  </si>
  <si>
    <t>https://stackoverflow.com/questions/15485354/angularjs-http-post-to-php-and-undefined</t>
  </si>
  <si>
    <t>https://stackoverflow.com/questions/15787748/evaluating-javascript-using-a-java-code</t>
  </si>
  <si>
    <t>https://stackoverflow.com/questions/15801782/how-to-correctly-pass-a-json-object-to-flask-server-using-jquery-ajax</t>
  </si>
  <si>
    <t>https://stackoverflow.com/questions/15822788/how-to-call-a-c-api-from-c-sharp</t>
  </si>
  <si>
    <t>https://stackoverflow.com/questions/15923595/how-to-use-a-c-dll-in-unity3d</t>
  </si>
  <si>
    <t>https://stackoverflow.com/questions/16062824/convert-object-of-class-stdclass-to-json-object</t>
  </si>
  <si>
    <t>https://stackoverflow.com/questions/16200997/why-doesnt-include-python-h-work</t>
  </si>
  <si>
    <t>https://stackoverflow.com/questions/14661249/java-jni-creating-a-swing-window-using-jni-from-c</t>
  </si>
  <si>
    <t>https://stackoverflow.com/questions/16517355/how-to-send-by-socket-c-compatible-struct-from-java</t>
  </si>
  <si>
    <t>https://stackoverflow.com/questions/16647186/calling-c-functions-in-python</t>
  </si>
  <si>
    <t>https://stackoverflow.com/questions/16660049/extracting-arguments-from-kwargs-in-boostpython</t>
  </si>
  <si>
    <t>https://stackoverflow.com/questions/16433794/get-ajax-post-data-on-php-via-javascript-call</t>
  </si>
  <si>
    <t>https://stackoverflow.com/questions/16693178/c-vector-to-python-3-3</t>
  </si>
  <si>
    <t>https://stackoverflow.com/questions/16908820/what-is-the-init-function-of-a-dynamic-module-in-python</t>
  </si>
  <si>
    <t>https://stackoverflow.com/questions/16932113/passing-multiple-php-variables-to-shell-exec</t>
  </si>
  <si>
    <t>https://stackoverflow.com/questions/17048140/convert-multidimensional-php-array-to-javascript-array</t>
  </si>
  <si>
    <t>https://stackoverflow.com/questions/17124712/jni-android-converting-char-to-byte-array-and-return-it-to-java</t>
  </si>
  <si>
    <t>https://stackoverflow.com/questions/17309745/how-to-join-a-group-using-signalr</t>
  </si>
  <si>
    <t>https://stackoverflow.com/questions/17834243/how-to-read-formdata-object-in-php</t>
  </si>
  <si>
    <t>https://stackoverflow.com/questions/18050937/how-can-i-execute-shell-command-with-a-pipe-in-it</t>
  </si>
  <si>
    <t>https://stackoverflow.com/questions/18115260/gwt-custom-event-trigger-in-javascript</t>
  </si>
  <si>
    <t>https://stackoverflow.com/questions/18470702/how-do-i-convert-a-c-sharp-liststring-to-a-javascript-array</t>
  </si>
  <si>
    <t>https://stackoverflow.com/questions/18545034/how-do-i-convert-my-entire-div-data-into-image-and-save-it-into-directory-withou</t>
  </si>
  <si>
    <t>https://stackoverflow.com/questions/18679264/how-to-use-malloc-and-free-with-python-ctypes</t>
  </si>
  <si>
    <t>https://stackoverflow.com/questions/18583273/issues-with-cors-flask-angularjs</t>
  </si>
  <si>
    <t>https://stackoverflow.com/questions/18879056/submit-button-that-calls-js-function-and-then-posts-to-mysql</t>
  </si>
  <si>
    <t>https://stackoverflow.com/questions/18878179/how-to-avoid-memory-leak-with-shared-ptr-and-swig</t>
  </si>
  <si>
    <t>https://stackoverflow.com/questions/19100085/javascript-runtime-error-unable-to-get-property-msie-of-undefined-or-null-ref</t>
  </si>
  <si>
    <t>https://stackoverflow.com/questions/19155192/jquery-ajax-call-to-php-script-with-json-return</t>
  </si>
  <si>
    <t>https://stackoverflow.com/questions/19243020/in-python-get-the-output-of-system-command-as-a-string</t>
  </si>
  <si>
    <t>https://stackoverflow.com/questions/19325761/python-executing-shell-script-with-argumentsvariable-but-argument-is-not-rea</t>
  </si>
  <si>
    <t>https://stackoverflow.com/questions/19370223/why-is-my-ajax-request-getting-response-0</t>
  </si>
  <si>
    <t>https://stackoverflow.com/questions/19428747/java-equivalent-of-c-copy-assignment-operator</t>
  </si>
  <si>
    <t>https://stackoverflow.com/questions/19561877/is-it-possible-to-set-localstorage-or-session-variable-in-asp-net-page-and-read</t>
  </si>
  <si>
    <t>https://stackoverflow.com/questions/19661580/minify-css-and-js-in-codeigniter-efficiently</t>
  </si>
  <si>
    <t>https://stackoverflow.com/questions/19865757/importerror-usr-lib-libboost-python-so-1-54-0-undefined-symbol-pyclass-type</t>
  </si>
  <si>
    <t>https://stackoverflow.com/questions/20054822/exposing-c-interface-in-boost-python</t>
  </si>
  <si>
    <t>https://stackoverflow.com/questions/20084549/angularjs-form-post-data-not-posted</t>
  </si>
  <si>
    <t>https://stackoverflow.com/questions/20111929/asp-net-button-on-click-not-firing-using-jquery-modal-dialog</t>
  </si>
  <si>
    <t>https://stackoverflow.com/questions/18512184/google-maps-finding-all-the-markers-inside-a-given-radius-javascript-php</t>
  </si>
  <si>
    <t>https://stackoverflow.com/questions/20419415/c-sharp-call-c-dll-passing-pointer-to-pointer-argument</t>
  </si>
  <si>
    <t>https://stackoverflow.com/questions/2865289/php-redirection-with-post-parameters</t>
  </si>
  <si>
    <t>https://stackoverflow.com/questions/20732980/how-to-use-socket-with-a-python-client-and-a-c-server</t>
  </si>
  <si>
    <t>https://stackoverflow.com/questions/20692053/callback-as-parameter-of-c-structure-java-wrapper-generation</t>
  </si>
  <si>
    <t>https://stackoverflow.com/questions/18647841/retrieve-exit-status-from-php-script-inside-of-shell-script</t>
  </si>
  <si>
    <t>https://stackoverflow.com/questions/21153805/convert-php-associative-array-into-javascript-object</t>
  </si>
  <si>
    <t>https://stackoverflow.com/questions/21441786/post-to-php-from-node-js</t>
  </si>
  <si>
    <t>https://stackoverflow.com/questions/21477881/use-javascript-to-update-a-json-file</t>
  </si>
  <si>
    <t>https://stackoverflow.com/questions/21581560/php-how-to-know-if-server-allows-shell-exec</t>
  </si>
  <si>
    <t>https://stackoverflow.com/questions/21835623/jquery-img-src-replace-not-working</t>
  </si>
  <si>
    <t>https://stackoverflow.com/questions/21852459/tomcat-7-0-50-java-websocket-implementation-gives-404-error</t>
  </si>
  <si>
    <t>https://stackoverflow.com/questions/21877127/calling-system-loadlibrary-twice-for-the-same-shared-library</t>
  </si>
  <si>
    <t>https://stackoverflow.com/questions/21890805/encrypt-aes-with-c-sharp-to-match-java-encryption</t>
  </si>
  <si>
    <t>https://stackoverflow.com/questions/22084698/how-to-export-source-content-within-div-to-text-html-file</t>
  </si>
  <si>
    <t>https://stackoverflow.com/questions/22105529/np-ascontiguousarray-versus-np-asarray-with-cython</t>
  </si>
  <si>
    <t>https://stackoverflow.com/questions/21278915/getting-to-interactive-django-shell-in-pydev</t>
  </si>
  <si>
    <t>https://stackoverflow.com/questions/22730210/send-log-errors-to-a-file</t>
  </si>
  <si>
    <t>https://stackoverflow.com/questions/22854749/flask-and-ajax-post-http-400-bad-request-error</t>
  </si>
  <si>
    <t>https://stackoverflow.com/questions/22978025/jackson-json-how-to-convert-array-to-jsonnode-and-objectnode</t>
  </si>
  <si>
    <t>https://stackoverflow.com/questions/23157685/send-data-to-a-generic-handler-that-accepts-json-data-using-c-sharp</t>
  </si>
  <si>
    <t>https://stackoverflow.com/questions/23366570/store-client-server-string-filtering-directives-for-realtime-use</t>
  </si>
  <si>
    <t>https://stackoverflow.com/questions/23611396/python-execute-cat-subprocess-in-parallel</t>
  </si>
  <si>
    <t>https://stackoverflow.com/questions/23622923/is-it-acceptable-practice-to-unit-test-a-program-in-a-different-language</t>
  </si>
  <si>
    <t>https://stackoverflow.com/questions/23949395/how-to-pass-a-javascript-array-to-a-python-script-using-flask-using-flask-examp</t>
  </si>
  <si>
    <t>https://stackoverflow.com/questions/24139389/unable-to-find-out-what-return-code-of-11-means</t>
  </si>
  <si>
    <t>https://stackoverflow.com/questions/24164951/2f-instead-of-slash-in-url</t>
  </si>
  <si>
    <t>https://stackoverflow.com/questions/24277488/in-python-how-to-capture-the-stdout-from-a-c-shared-library-to-a-variable</t>
  </si>
  <si>
    <t>https://stackoverflow.com/questions/18441194/how-to-call-a-c-sharp-function-from-javascript</t>
  </si>
  <si>
    <t>https://stackoverflow.com/questions/24192138/signalr-longpolling-multiple-groups-add-for-a-single-client-exception</t>
  </si>
  <si>
    <t>https://stackoverflow.com/questions/24450304/load-data-on-scroll-up-like-facebook-chatting-system</t>
  </si>
  <si>
    <t>https://stackoverflow.com/questions/24492327/python-embedding-in-c-importerror-no-module-named-pyfunction</t>
  </si>
  <si>
    <t>https://stackoverflow.com/questions/24745355/spa-firebase-and-net-webapi-2-authentication</t>
  </si>
  <si>
    <t>https://stackoverflow.com/questions/25379340/nashorn-java-collections-how-to-implement-equals-and-hashcode-in-pure-javascri</t>
  </si>
  <si>
    <t>https://stackoverflow.com/questions/25383624/communication-between-c-and-python</t>
  </si>
  <si>
    <t>https://stackoverflow.com/questions/25882150/python-h-not-found-using-swig-and-anaconda-python</t>
  </si>
  <si>
    <t>https://stackoverflow.com/questions/26194684/how-to-disable-python-shell-spawning-less-with-help</t>
  </si>
  <si>
    <t>https://stackoverflow.com/questions/5187242/encode-a-string-to-be-used-as-shell-argument</t>
  </si>
  <si>
    <t>https://stackoverflow.com/questions/26855631/javascript-to-django-views-py</t>
  </si>
  <si>
    <t>https://stackoverflow.com/questions/26983005/importing-python-flask-json-dictionary-into-javascript-error</t>
  </si>
  <si>
    <t>https://stackoverflow.com/questions/24621889/minimal-example-of-wrapping-c-code-with-cython-passing-int-and-struct</t>
  </si>
  <si>
    <t>https://stackoverflow.com/questions/28068305/converting-a-symfony2-php-entity-object-for-use-within-javascript</t>
  </si>
  <si>
    <t>https://stackoverflow.com/questions/28289699/python-web-scraping-for-javascript-generated-content</t>
  </si>
  <si>
    <t>https://stackoverflow.com/questions/28296252/ajax-not-post-base64-data-of-large-image</t>
  </si>
  <si>
    <t>https://stackoverflow.com/questions/28383478/most-efficient-way-to-fix-an-invalid-json</t>
  </si>
  <si>
    <t>https://stackoverflow.com/questions/28386534/post-request-with-jquery-and-laravel-framework</t>
  </si>
  <si>
    <t>https://stackoverflow.com/questions/28573479/cython-python-c-inheritance-passing-derived-class-as-argument-to-function-e</t>
  </si>
  <si>
    <t>https://stackoverflow.com/questions/29287311/how-to-append-datetime-value-to-formdata-and-receive-it-in-controller</t>
  </si>
  <si>
    <t>https://stackoverflow.com/questions/29516515/how-to-get-a-zip-with-ajax-from-php-server</t>
  </si>
  <si>
    <t>https://stackoverflow.com/questions/29006439/boost-python-multiple-modules-in-one-shared-object</t>
  </si>
  <si>
    <t>https://stackoverflow.com/questions/29626410/krajee-bootstrap-file-input-catching-ajax-success-response</t>
  </si>
  <si>
    <t>https://stackoverflow.com/questions/29595222/multithreading-with-python-and-c-api</t>
  </si>
  <si>
    <t>https://stackoverflow.com/questions/29745584/using-getdirectbufferaddress-from-jni</t>
  </si>
  <si>
    <t>https://stackoverflow.com/questions/29760761/aes-256-on-the-client-side-js-and-in-the-server-php</t>
  </si>
  <si>
    <t>https://stackoverflow.com/questions/29987323/how-do-i-send-data-from-js-to-python-with-flask</t>
  </si>
  <si>
    <t>https://stackoverflow.com/questions/30011998/asp-net-500-internal-server-error-while-calling-webmethod-from-javascript</t>
  </si>
  <si>
    <t>https://stackoverflow.com/questions/30024948/flask-download-a-csv-file-on-clicking-a-button</t>
  </si>
  <si>
    <t>https://stackoverflow.com/questions/29949338/encryption-between-desktop-app-and-server-c-sharp-to-php</t>
  </si>
  <si>
    <t>https://stackoverflow.com/questions/29733594/thymeleaf-print-json-string-as-json-object-into-a-javascript-variable</t>
  </si>
  <si>
    <t>https://stackoverflow.com/questions/30112285/create-dynamic-json-from-foreach</t>
  </si>
  <si>
    <t>https://stackoverflow.com/questions/30165475/how-to-compress-minimize-size-of-json-jsonify-with-flask-in-python</t>
  </si>
  <si>
    <t>https://stackoverflow.com/questions/30214271/php-js-progress-bar</t>
  </si>
  <si>
    <t>https://stackoverflow.com/questions/30308490/jni-wrapper-for-c-function-using-swig-what-should-be-the-typemap</t>
  </si>
  <si>
    <t>https://stackoverflow.com/questions/30263293/youtube-subscriptions-list-api-v3-nextpagetoken-isnt-available</t>
  </si>
  <si>
    <t>https://stackoverflow.com/questions/30455178/numpy-ctypes-dynamic-module-does-not-define-init-function-error-if-not-recompi</t>
  </si>
  <si>
    <t>https://stackoverflow.com/questions/30603810/authenticate-firebase-firechat-with-wordpress-user-or-database</t>
  </si>
  <si>
    <t>https://stackoverflow.com/questions/30680562/send-form-data-with-jquery-ajax-json</t>
  </si>
  <si>
    <t>https://stackoverflow.com/questions/30686266/how-to-include-csrf-token-in-an-external-js-file-in-laravel</t>
  </si>
  <si>
    <t>https://stackoverflow.com/questions/29699543/how-to-get-swig-to-apply-templates-when-wrapping-a-template-class-containing-vec</t>
  </si>
  <si>
    <t>https://stackoverflow.com/questions/30899484/python-flask-calling-functions-using-buttons</t>
  </si>
  <si>
    <t>https://stackoverflow.com/questions/30983220/ctypes-error-attributeerror-symbol-not-found-os-x-10-7-5</t>
  </si>
  <si>
    <t>https://stackoverflow.com/questions/30984078/cython-working-with-c-streams</t>
  </si>
  <si>
    <t>https://stackoverflow.com/questions/31334390/c-sharp-property-value-doesnt-get-modified-within-javascript-jquery</t>
  </si>
  <si>
    <t>https://stackoverflow.com/questions/31366855/how-to-bind-zeromq-socket-with-ratchet-web-socket-library-to-make-real-time-appl</t>
  </si>
  <si>
    <t>https://stackoverflow.com/questions/31436593/cython-templates-in-python-class-wrappers</t>
  </si>
  <si>
    <t>https://stackoverflow.com/questions/23750661/send-json-object-from-javascript-to-php</t>
  </si>
  <si>
    <t>https://stackoverflow.com/questions/7195959/hello-world-with-boost-python-and-python-3-2</t>
  </si>
  <si>
    <t>https://stackoverflow.com/questions/32028339/writing-a-long-from-java-in-a-file-and-reading-it-in-c</t>
  </si>
  <si>
    <t>https://stackoverflow.com/questions/32221090/org-springframework-web-bind-missingservletrequestparameterexception-required</t>
  </si>
  <si>
    <t>https://stackoverflow.com/questions/32440486/what-does-a-blue-dot-beneath-the-visual-studio-breakpoint-mean</t>
  </si>
  <si>
    <t>https://stackoverflow.com/questions/32512444/use-jquery-to-post-data-to-mvc-action-method</t>
  </si>
  <si>
    <t>https://stackoverflow.com/questions/32804020/create-a-shell-script-to-run-a-java-program-on-linux</t>
  </si>
  <si>
    <t>https://stackoverflow.com/questions/33066486/jscroll-js-with-laravel-5-nextselector-not-found-destroying</t>
  </si>
  <si>
    <t>https://stackoverflow.com/questions/33291631/is-there-a-simple-way-to-get-rid-of-junk-values-that-come-when-you-ssh-using-pyt</t>
  </si>
  <si>
    <t>https://stackoverflow.com/questions/33310675/pass-file-into-function-from-python-ctypes</t>
  </si>
  <si>
    <t>https://stackoverflow.com/questions/33377764/error-using-callback-in-python</t>
  </si>
  <si>
    <t>https://stackoverflow.com/questions/33677231/how-to-expose-a-function-returning-a-c-object-to-python-without-copying-the-ob</t>
  </si>
  <si>
    <t>https://stackoverflow.com/questions/33813735/nginx-with-expires-on-javascript-files-dynamically-generated-by-php</t>
  </si>
  <si>
    <t>https://stackoverflow.com/questions/34362470/load-modal-after-form-submit</t>
  </si>
  <si>
    <t>https://stackoverflow.com/questions/34591729/how-to-execute-code-in-the-django-shell-by-an-external-python-script</t>
  </si>
  <si>
    <t>https://stackoverflow.com/questions/11741574/how-to-print-utf-8-encoded-text-to-the-console-in-python-3</t>
  </si>
  <si>
    <t>https://stackoverflow.com/questions/35321671/compiling-c-code-that-uses-both-r-and-numpy-on-linux</t>
  </si>
  <si>
    <t>https://stackoverflow.com/questions/35462175/call-python-function-from-c-sharp-net</t>
  </si>
  <si>
    <t>https://stackoverflow.com/questions/33789011/bokeh-implementing-custom-javascript-in-an-image-plot</t>
  </si>
  <si>
    <t>https://stackoverflow.com/questions/33779063/nuget-package-with-a-dependency-on-visual-c-2013-runtime</t>
  </si>
  <si>
    <t>https://stackoverflow.com/questions/35444656/thrift-java-client-cannot-handle-union-properly</t>
  </si>
  <si>
    <t>https://stackoverflow.com/questions/35752909/bash-script-printf-colors-from-variable</t>
  </si>
  <si>
    <t>https://stackoverflow.com/questions/35731305/do-json-libraries-agree-on-whats-the-double-precision-value-of-5000-1</t>
  </si>
  <si>
    <t>https://stackoverflow.com/questions/35716417/show-previously-uploaded-images-in-fine-uploader</t>
  </si>
  <si>
    <t>https://stackoverflow.com/questions/36340948/how-can-i-get-data-from-a-websocket-url</t>
  </si>
  <si>
    <t>https://stackoverflow.com/questions/36530637/embedding-python-in-c-error-in-linking-undefined-reference-to-pystring-asstri</t>
  </si>
  <si>
    <t>https://stackoverflow.com/questions/36853411/using-javascript-to-call-c-in-internet-explorer</t>
  </si>
  <si>
    <t>https://stackoverflow.com/questions/37228791/custom-button-next-to-add-to-cart-button-of-woocommerce-based-on-product-type</t>
  </si>
  <si>
    <t>https://stackoverflow.com/questions/37474832/how-to-train-a-model-in-c-with-tensorflow</t>
  </si>
  <si>
    <t>https://stackoverflow.com/questions/37506637/how-to-clear-ajax-response</t>
  </si>
  <si>
    <t>https://stackoverflow.com/questions/37690068/laravel-refresh-data-after-ajax</t>
  </si>
  <si>
    <t>https://stackoverflow.com/questions/37570418/reload-captcha-image</t>
  </si>
  <si>
    <t>https://stackoverflow.com/questions/38243721/return-json-object-from-php-script</t>
  </si>
  <si>
    <t>https://stackoverflow.com/questions/37206310/how-to-return-the-multiple-lists-from-controller-action-to-ajax-success-call-bac</t>
  </si>
  <si>
    <t>https://stackoverflow.com/questions/38378901/jni-thread-model</t>
  </si>
  <si>
    <t>https://stackoverflow.com/questions/38678239/execute-google-chart-api-javascript-in-php-file</t>
  </si>
  <si>
    <t>https://stackoverflow.com/questions/38916788/accessing-laravel-relations-in-javascript-code</t>
  </si>
  <si>
    <t>https://stackoverflow.com/questions/38898776/add-access-control-allow-origin-on-http-listener-in-c-rest-sdk</t>
  </si>
  <si>
    <t>https://stackoverflow.com/questions/39127512/java-uncaughtexceptionhandler-havent-got-any-exception-using-jni</t>
  </si>
  <si>
    <t>https://stackoverflow.com/questions/39244589/serializing-image-stream-using-protobuf</t>
  </si>
  <si>
    <t>https://stackoverflow.com/questions/39498702/passing-arguments-to-python-from-shell-script</t>
  </si>
  <si>
    <t>https://stackoverflow.com/questions/39649807/how-to-setup-qwebchannel-js-api-for-use-in-a-qwebengineview</t>
  </si>
  <si>
    <t>https://stackoverflow.com/questions/39774300/jquery-datatables-asp-net-issue</t>
  </si>
  <si>
    <t>https://stackoverflow.com/questions/39686611/column-sum-of-multiple-columns-of-dynamic-gridview-using-javascript</t>
  </si>
  <si>
    <t>https://stackoverflow.com/questions/39948485/how-can-i-convert-python-boolean-object-to-c-int-or-c-boolean-python-c-api</t>
  </si>
  <si>
    <t>https://stackoverflow.com/questions/41323746/use-python-regex-to-parse-string-of-floats-output-by-java-arrays-deeptostring</t>
  </si>
  <si>
    <t>https://stackoverflow.com/questions/40674654/can-not-add-data-attributes-in-script-tag-in-prestashop-1-6</t>
  </si>
  <si>
    <t>https://stackoverflow.com/questions/42101786/dropzone-js-prevents-flask-from-rendering-template</t>
  </si>
  <si>
    <t>https://stackoverflow.com/questions/5107694/how-do-i-add-a-reference-to-an-unmanaged-c-project-called-by-a-c-sharp-project</t>
  </si>
  <si>
    <t>https://stackoverflow.com/questions/42475492/how-to-read-and-echo-file-size-of-uploaded-file-being-written-at-server-in-real</t>
  </si>
  <si>
    <t>https://stackoverflow.com/questions/42763186/how-to-release-the-gil-in-cython-for-a-multithreaded-c-class</t>
  </si>
  <si>
    <t>https://stackoverflow.com/questions/43196260/cakephp-how-to-call-javascript-function-in-link</t>
  </si>
  <si>
    <t>https://stackoverflow.com/questions/43161227/no-response-when-validationexception-is-thrown-using-plupload-and-symfony3</t>
  </si>
  <si>
    <t>https://stackoverflow.com/questions/43621948/c-python-module-import-error-undefined-symbol-py-initmodule3-py-initmodu</t>
  </si>
  <si>
    <t>https://stackoverflow.com/questions/43633044/generate-android-apk-using-shell-script-from-php</t>
  </si>
  <si>
    <t>https://stackoverflow.com/questions/43942476/load-custom-ner-model-stanford-corenlp</t>
  </si>
  <si>
    <t>https://stackoverflow.com/questions/43827637/how-to-use-ajax-and-json-for-making-dropdown-menu</t>
  </si>
  <si>
    <t>https://stackoverflow.com/questions/44123252/detecting-c-types-limits-limits-h-in-python</t>
  </si>
  <si>
    <t>https://stackoverflow.com/questions/45108666/sessions-in-angularjs-and-php-application</t>
  </si>
  <si>
    <t>https://stackoverflow.com/questions/45387728/calling-a-c-style-function-pointer-in-a-webassembly-from-javascript</t>
  </si>
  <si>
    <t>https://stackoverflow.com/questions/45658004/how-to-send-audio-blob-from-javascript-to-java-spring-server</t>
  </si>
  <si>
    <t>https://stackoverflow.com/questions/45992396/jsonobj-data-not-being-passed-via-ajax-and-post-on-ie11-only</t>
  </si>
  <si>
    <t>https://stackoverflow.com/questions/46093210/c-sharp-version-of-the-javascript-function-btoa</t>
  </si>
  <si>
    <t>https://stackoverflow.com/questions/46805745/laravel-how-to-hide-the-interpolation-code-before-vue-js-loads</t>
  </si>
  <si>
    <t>https://stackoverflow.com/questions/46746561/adding-the-load-more-button-from-my-front-page-to-my-search-page</t>
  </si>
  <si>
    <t>https://stackoverflow.com/questions/46750959/how-to-write-event-handlers-and-detect-certain-javascript-calls-using-htmlunit</t>
  </si>
  <si>
    <t>https://stackoverflow.com/questions/46888778/autocomplete-textbox-using-php</t>
  </si>
  <si>
    <t>https://stackoverflow.com/questions/28749209/do-cython-extension-types-support-class-attributes</t>
  </si>
  <si>
    <t>https://stackoverflow.com/questions/47635408/cythonizing-fails-because-of-unknown-type-name-uint64-t</t>
  </si>
  <si>
    <t>https://stackoverflow.com/questions/33326699/passing-laravel-array-in-javascript</t>
  </si>
  <si>
    <t>https://stackoverflow.com/questions/48777708/react-frontend-connecting-to-flask-backend-howto</t>
  </si>
  <si>
    <t>https://stackoverflow.com/questions/49010415/flask-request-get-json-returning-none-when-valid-json-data-sent-via-post-reque</t>
  </si>
  <si>
    <t>https://stackoverflow.com/questions/49070403/how-to-retrieve-variables-in-php-sent-by-axios-post-request</t>
  </si>
  <si>
    <t>https://stackoverflow.com/questions/49793560/build-c-plugin-for-unity</t>
  </si>
  <si>
    <t>https://stackoverflow.com/questions/34517668/zend-how-to-correctly-destruct-a-custom-object-in-php-7</t>
  </si>
  <si>
    <t>https://stackoverflow.com/questions/50579572/export-a-variable-from-bash-and-use-it-in-python</t>
  </si>
  <si>
    <t>https://stackoverflow.com/questions/50674904/firing-events-in-c-and-handling-them-in-c-sharp</t>
  </si>
  <si>
    <t>https://stackoverflow.com/questions/50731650/is-it-possible-to-run-webassembly-code-async</t>
  </si>
  <si>
    <t>https://stackoverflow.com/questions/52367826/custom-plus-and-minus-quantity-buttons-in-woocommerce-3</t>
  </si>
  <si>
    <t>https://stackoverflow.com/questions/53340627/typeerror-expected-bytes-like-object-not-str</t>
  </si>
  <si>
    <t>https://stackoverflow.com/questions/53762552/with-pybind11-how-to-split-my-code-into-multiple-modules-files</t>
  </si>
  <si>
    <t>https://stackoverflow.com/questions/54018008/how-to-pass-content-in-tinymces-textarea-to-a-php-file-directly-instead-of-send</t>
  </si>
  <si>
    <t>https://stackoverflow.com/questions/54545813/using-kill-to-trigger-a-parents-waitpid</t>
  </si>
  <si>
    <t>https://stackoverflow.com/questions/54899367/send-numpy-array-as-bytes-from-python-to-js-through-flask</t>
  </si>
  <si>
    <t>https://stackoverflow.com/questions/29165155/calling-javascript-from-c-with-node-js</t>
  </si>
  <si>
    <t>https://stackoverflow.com/questions/49866263/how-are-symbols-contained-in-the-libpythonx-x-linked-to-numpy-extension-dynamic</t>
  </si>
  <si>
    <t>https://stackoverflow.com/questions/55964908/passing-jwt-token-to-sockjs</t>
  </si>
  <si>
    <t>https://stackoverflow.com/questions/56466822/can-c-be-called-from-c-sharp-compiled-to-wasm</t>
  </si>
  <si>
    <t>https://stackoverflow.com/questions/56385013/how-to-show-entire-text-in-a-modal-on-click-of-ellipsis-in-js</t>
  </si>
  <si>
    <t>https://stackoverflow.com/questions/57990269/passing-pointer-to-c-from-python-using-pybind11</t>
  </si>
  <si>
    <t>https://stackoverflow.com/questions/58250341/what-happens-if-undefined-c-behaviour-meets-c-defined-behaviour</t>
  </si>
  <si>
    <t>https://stackoverflow.com/questions/58927296/adding-utf-8-support-to-js-php-script</t>
  </si>
  <si>
    <t>https://stackoverflow.com/questions/60333494/this-paymentmethod-was-previously-used-without-being-attached-to-a-customer-or-w</t>
  </si>
  <si>
    <t>https://stackoverflow.com/questions/60032983/record-voice-with-recorder-js-and-upload-it-to-python-flask-server-but-wav-file</t>
  </si>
  <si>
    <t>https://stackoverflow.com/questions/60892286/javascript-to-c-sharp-numeric-precision-loss</t>
  </si>
  <si>
    <t>https://stackoverflow.com/questions/65189028/how-to-change-server-side-language-cookies-like-client-side-using-ajax</t>
  </si>
  <si>
    <t>https://stackoverflow.com/questions/66498069/what-is-the-most-conventional-way-to-integrate-c-code-into-a-python-library-usin</t>
  </si>
  <si>
    <t>total</t>
  </si>
  <si>
    <t>answer</t>
  </si>
  <si>
    <t>comment</t>
  </si>
  <si>
    <t>discus frequency</t>
  </si>
  <si>
    <t>ans frequency</t>
  </si>
  <si>
    <t>com frequency</t>
  </si>
  <si>
    <t>within 1 day</t>
  </si>
  <si>
    <t>within 3 days</t>
  </si>
  <si>
    <t>within a week</t>
  </si>
  <si>
    <t>within a month</t>
  </si>
  <si>
    <t>within a year</t>
  </si>
  <si>
    <t>within 5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</si>
</sst>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Percentages of posts with 0 posts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'number of discussion'!$J$24:$L$24</c:f>
              <c:strCache>
                <c:ptCount val="3"/>
                <c:pt idx="0">
                  <c:v>total</c:v>
                </c:pt>
                <c:pt idx="1">
                  <c:v>answer</c:v>
                </c:pt>
                <c:pt idx="2">
                  <c:v>comment</c:v>
                </c:pt>
              </c:strCache>
            </c:strRef>
          </c:cat>
          <c:val>
            <c:numRef>
              <c:f>'number of discussion'!$J$25:$L$25</c:f>
              <c:numCache>
                <c:formatCode>0%</c:formatCode>
                <c:ptCount val="3"/>
                <c:pt idx="0">
                  <c:v>9.7156398104265407E-2</c:v>
                </c:pt>
                <c:pt idx="1">
                  <c:v>0.44312796208530808</c:v>
                </c:pt>
                <c:pt idx="2">
                  <c:v>0.13981042654028436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60-4556-980F-5D4EDEED7A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4684240"/>
        <c:axId val="444682992"/>
      </c:barChart>
      <c:catAx>
        <c:axId val="444684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682992"/>
        <c:crosses val="autoZero"/>
        <c:auto val="1"/>
        <c:lblAlgn val="ctr"/>
        <c:lblOffset val="100"/>
        <c:noMultiLvlLbl val="0"/>
      </c:catAx>
      <c:valAx>
        <c:axId val="44468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684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'no discussion rate over time'!$L$2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'no discussion rate over time'!$M$1:$R$1</c:f>
              <c:strCache>
                <c:ptCount val="6"/>
                <c:pt idx="0">
                  <c:v>within 1 day</c:v>
                </c:pt>
                <c:pt idx="1">
                  <c:v>within 3 days</c:v>
                </c:pt>
                <c:pt idx="2">
                  <c:v>within a week</c:v>
                </c:pt>
                <c:pt idx="3">
                  <c:v>within a month</c:v>
                </c:pt>
                <c:pt idx="4">
                  <c:v>within a year</c:v>
                </c:pt>
                <c:pt idx="5">
                  <c:v>within 5 years</c:v>
                </c:pt>
              </c:strCache>
            </c:strRef>
          </c:cat>
          <c:val>
            <c:numRef>
              <c:f>'no discussion rate over time'!$M$2:$R$2</c:f>
              <c:numCache>
                <c:formatCode>0%</c:formatCode>
                <c:ptCount val="6"/>
                <c:pt idx="0">
                  <c:v>0.24671916010498687</c:v>
                </c:pt>
                <c:pt idx="1">
                  <c:v>0.28608923884514437</c:v>
                </c:pt>
                <c:pt idx="2">
                  <c:v>0.34908136482939633</c:v>
                </c:pt>
                <c:pt idx="3">
                  <c:v>0.38320209973753283</c:v>
                </c:pt>
                <c:pt idx="4">
                  <c:v>0.43044619422572178</c:v>
                </c:pt>
                <c:pt idx="5">
                  <c:v>0.69291338582677164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AB-46B8-B054-917434AE5698}"/>
            </c:ext>
          </c:extLst>
        </c:ser>
        <c:ser>
          <c:idx val="1"/>
          <c:order val="1"/>
          <c:tx>
            <c:strRef>
              <c:f>'no discussion rate over time'!$L$3</c:f>
              <c:strCache>
                <c:ptCount val="1"/>
                <c:pt idx="0">
                  <c:v>answer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'no discussion rate over time'!$M$1:$R$1</c:f>
              <c:strCache>
                <c:ptCount val="6"/>
                <c:pt idx="0">
                  <c:v>within 1 day</c:v>
                </c:pt>
                <c:pt idx="1">
                  <c:v>within 3 days</c:v>
                </c:pt>
                <c:pt idx="2">
                  <c:v>within a week</c:v>
                </c:pt>
                <c:pt idx="3">
                  <c:v>within a month</c:v>
                </c:pt>
                <c:pt idx="4">
                  <c:v>within a year</c:v>
                </c:pt>
                <c:pt idx="5">
                  <c:v>within 5 years</c:v>
                </c:pt>
              </c:strCache>
            </c:strRef>
          </c:cat>
          <c:val>
            <c:numRef>
              <c:f>'no discussion rate over time'!$M$3:$R$3</c:f>
              <c:numCache>
                <c:formatCode>0%</c:formatCode>
                <c:ptCount val="6"/>
                <c:pt idx="0">
                  <c:v>0.14468085106382977</c:v>
                </c:pt>
                <c:pt idx="1">
                  <c:v>0.16595744680851063</c:v>
                </c:pt>
                <c:pt idx="2">
                  <c:v>0.20425531914893616</c:v>
                </c:pt>
                <c:pt idx="3">
                  <c:v>0.22127659574468084</c:v>
                </c:pt>
                <c:pt idx="4">
                  <c:v>0.28085106382978725</c:v>
                </c:pt>
                <c:pt idx="5">
                  <c:v>0.56595744680851068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AB-46B8-B054-917434AE5698}"/>
            </c:ext>
          </c:extLst>
        </c:ser>
        <c:ser>
          <c:idx val="2"/>
          <c:order val="2"/>
          <c:tx>
            <c:strRef>
              <c:f>'no discussion rate over time'!$L$4</c:f>
              <c:strCache>
                <c:ptCount val="1"/>
                <c:pt idx="0">
                  <c:v>comment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'no discussion rate over time'!$M$1:$R$1</c:f>
              <c:strCache>
                <c:ptCount val="6"/>
                <c:pt idx="0">
                  <c:v>within 1 day</c:v>
                </c:pt>
                <c:pt idx="1">
                  <c:v>within 3 days</c:v>
                </c:pt>
                <c:pt idx="2">
                  <c:v>within a week</c:v>
                </c:pt>
                <c:pt idx="3">
                  <c:v>within a month</c:v>
                </c:pt>
                <c:pt idx="4">
                  <c:v>within a year</c:v>
                </c:pt>
                <c:pt idx="5">
                  <c:v>within 5 years</c:v>
                </c:pt>
              </c:strCache>
            </c:strRef>
          </c:cat>
          <c:val>
            <c:numRef>
              <c:f>'no discussion rate over time'!$M$4:$R$4</c:f>
              <c:numCache>
                <c:formatCode>0%</c:formatCode>
                <c:ptCount val="6"/>
                <c:pt idx="0">
                  <c:v>0.23691460055096419</c:v>
                </c:pt>
                <c:pt idx="1">
                  <c:v>0.27272727272727271</c:v>
                </c:pt>
                <c:pt idx="2">
                  <c:v>0.33608815426997246</c:v>
                </c:pt>
                <c:pt idx="3">
                  <c:v>0.37190082644628097</c:v>
                </c:pt>
                <c:pt idx="4">
                  <c:v>0.41322314049586778</c:v>
                </c:pt>
                <c:pt idx="5">
                  <c:v>0.6831955922865014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7AB-46B8-B054-917434AE56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8976848"/>
        <c:axId val="308978096"/>
      </c:lineChart>
      <c:catAx>
        <c:axId val="308976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978096"/>
        <c:crosses val="autoZero"/>
        <c:auto val="1"/>
        <c:lblAlgn val="ctr"/>
        <c:lblOffset val="100"/>
        <c:noMultiLvlLbl val="0"/>
      </c:catAx>
      <c:valAx>
        <c:axId val="30897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976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Discussion after accepted answers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boxWhisker" uniqueId="{537A99E6-7069-4BE1-A0C1-F67B7C83D277}">
          <cx:tx>
            <cx:txData>
              <cx:f>_xlchart.v1.0</cx:f>
              <cx:v>after accepted discus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A8D0654D-1466-46A8-B8FC-D4B39030B3B1}">
          <cx:tx>
            <cx:txData>
              <cx:f>_xlchart.v1.2</cx:f>
              <cx:v>after accepted answers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DA683C5F-D1A5-4F8E-A056-45406FDE6ACC}">
          <cx:tx>
            <cx:txData>
              <cx:f>_xlchart.v1.4</cx:f>
              <cx:v>after accepted comments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  <cx:data id="1">
      <cx:numDim type="val">
        <cx:f>_xlchart.v1.9</cx:f>
      </cx:numDim>
    </cx:data>
    <cx:data id="2">
      <cx:numDim type="val">
        <cx:f>_xlchart.v1.11</cx:f>
      </cx:numDim>
    </cx:data>
  </cx:chartData>
  <cx:chart>
    <cx:title pos="t" align="ctr" overlay="0"/>
    <cx:plotArea>
      <cx:plotAreaRegion>
        <cx:series layoutId="boxWhisker" uniqueId="{7692D167-6868-4F12-9B57-B9D6E80E17F5}">
          <cx:tx>
            <cx:txData>
              <cx:f>_xlchart.v1.6</cx:f>
              <cx:v>discus frequency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56C29715-7A84-4E1D-9787-D3D55A5939A0}">
          <cx:tx>
            <cx:txData>
              <cx:f>_xlchart.v1.8</cx:f>
              <cx:v>ans frequency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2E239C10-A08B-4CC1-8D5F-3715AACBA67A}">
          <cx:tx>
            <cx:txData>
              <cx:f>_xlchart.v1.10</cx:f>
              <cx:v>com frequency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247650</xdr:colOff>
      <xdr:row>1</xdr:row>
      <xdr:rowOff>185736</xdr:rowOff>
    </xdr:from>
    <xdr:to>
      <xdr:col>20</xdr:col>
      <xdr:colOff>304800</xdr:colOff>
      <xdr:row>20</xdr:row>
      <xdr:rowOff>171449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7AE02E6-CF9C-4C44-8450-CB8FB94F7E3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91600" y="376236"/>
              <a:ext cx="7372350" cy="36052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214312</xdr:colOff>
      <xdr:row>26</xdr:row>
      <xdr:rowOff>14287</xdr:rowOff>
    </xdr:from>
    <xdr:to>
      <xdr:col>17</xdr:col>
      <xdr:colOff>352425</xdr:colOff>
      <xdr:row>40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A9FF9B-475A-400C-BE98-99F1CCCC8A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461961</xdr:colOff>
      <xdr:row>1</xdr:row>
      <xdr:rowOff>185737</xdr:rowOff>
    </xdr:from>
    <xdr:to>
      <xdr:col>20</xdr:col>
      <xdr:colOff>447674</xdr:colOff>
      <xdr:row>16</xdr:row>
      <xdr:rowOff>142875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7C249DB-7A89-4D56-85E6-C49CF2EDDF6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34311" y="376237"/>
              <a:ext cx="6881813" cy="28146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333374</xdr:colOff>
      <xdr:row>7</xdr:row>
      <xdr:rowOff>71437</xdr:rowOff>
    </xdr:from>
    <xdr:to>
      <xdr:col>19</xdr:col>
      <xdr:colOff>323849</xdr:colOff>
      <xdr:row>24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B16441-350E-4997-AF4A-EE7EF90876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3"/>
  <sheetViews>
    <sheetView topLeftCell="A7" workbookViewId="0">
      <selection activeCell="S37" sqref="S37"/>
    </sheetView>
  </sheetViews>
  <sheetFormatPr defaultRowHeight="15" x14ac:dyDescent="0.25"/>
  <cols>
    <col min="4" max="4" width="20" customWidth="1"/>
    <col min="5" max="5" width="24.42578125" customWidth="1"/>
    <col min="6" max="6" width="26.140625" customWidth="1"/>
    <col min="7" max="7" width="24" customWidth="1"/>
  </cols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>
        <v>0</v>
      </c>
      <c r="B2" t="s">
        <v>6</v>
      </c>
      <c r="C2">
        <v>3</v>
      </c>
      <c r="D2">
        <v>0</v>
      </c>
      <c r="E2">
        <v>0</v>
      </c>
      <c r="F2">
        <v>0</v>
      </c>
      <c r="G2">
        <v>0</v>
      </c>
    </row>
    <row r="3" spans="1:7" x14ac:dyDescent="0.25">
      <c r="A3">
        <v>3</v>
      </c>
      <c r="B3" t="s">
        <v>9</v>
      </c>
      <c r="C3">
        <v>3</v>
      </c>
      <c r="D3">
        <v>0</v>
      </c>
      <c r="E3">
        <v>0</v>
      </c>
      <c r="F3">
        <v>0</v>
      </c>
      <c r="G3">
        <v>0</v>
      </c>
    </row>
    <row r="4" spans="1:7" x14ac:dyDescent="0.25">
      <c r="A4">
        <v>11</v>
      </c>
      <c r="B4" t="s">
        <v>17</v>
      </c>
      <c r="C4">
        <v>2</v>
      </c>
      <c r="D4">
        <v>0</v>
      </c>
      <c r="E4">
        <v>0</v>
      </c>
      <c r="F4">
        <v>0</v>
      </c>
      <c r="G4">
        <v>0</v>
      </c>
    </row>
    <row r="5" spans="1:7" x14ac:dyDescent="0.25">
      <c r="A5">
        <v>30</v>
      </c>
      <c r="B5" t="s">
        <v>36</v>
      </c>
      <c r="C5">
        <v>2</v>
      </c>
      <c r="D5">
        <v>0</v>
      </c>
      <c r="E5">
        <v>0</v>
      </c>
      <c r="F5">
        <v>0</v>
      </c>
      <c r="G5">
        <v>0</v>
      </c>
    </row>
    <row r="6" spans="1:7" x14ac:dyDescent="0.25">
      <c r="A6">
        <v>46</v>
      </c>
      <c r="B6" t="s">
        <v>52</v>
      </c>
      <c r="C6">
        <v>4</v>
      </c>
      <c r="D6">
        <v>0</v>
      </c>
      <c r="E6">
        <v>0</v>
      </c>
      <c r="F6">
        <v>0</v>
      </c>
      <c r="G6">
        <v>0</v>
      </c>
    </row>
    <row r="7" spans="1:7" x14ac:dyDescent="0.25">
      <c r="A7">
        <v>60</v>
      </c>
      <c r="B7" t="s">
        <v>66</v>
      </c>
      <c r="C7">
        <v>3</v>
      </c>
      <c r="D7">
        <v>0</v>
      </c>
      <c r="E7">
        <v>0</v>
      </c>
      <c r="F7">
        <v>0</v>
      </c>
      <c r="G7">
        <v>0</v>
      </c>
    </row>
    <row r="8" spans="1:7" x14ac:dyDescent="0.25">
      <c r="A8">
        <v>95</v>
      </c>
      <c r="B8" t="s">
        <v>101</v>
      </c>
      <c r="C8">
        <v>3</v>
      </c>
      <c r="D8">
        <v>0</v>
      </c>
      <c r="E8">
        <v>0</v>
      </c>
      <c r="F8">
        <v>0</v>
      </c>
      <c r="G8">
        <v>0</v>
      </c>
    </row>
    <row r="9" spans="1:7" x14ac:dyDescent="0.25">
      <c r="A9">
        <v>96</v>
      </c>
      <c r="B9" t="s">
        <v>102</v>
      </c>
      <c r="C9">
        <v>1</v>
      </c>
      <c r="D9">
        <v>0</v>
      </c>
      <c r="E9">
        <v>0</v>
      </c>
      <c r="F9">
        <v>0</v>
      </c>
      <c r="G9">
        <v>0</v>
      </c>
    </row>
    <row r="10" spans="1:7" x14ac:dyDescent="0.25">
      <c r="A10">
        <v>110</v>
      </c>
      <c r="B10" t="s">
        <v>116</v>
      </c>
      <c r="C10">
        <v>6</v>
      </c>
      <c r="D10">
        <v>0</v>
      </c>
      <c r="E10">
        <v>0</v>
      </c>
      <c r="F10">
        <v>0</v>
      </c>
      <c r="G10">
        <v>0</v>
      </c>
    </row>
    <row r="11" spans="1:7" x14ac:dyDescent="0.25">
      <c r="A11">
        <v>138</v>
      </c>
      <c r="B11" t="s">
        <v>144</v>
      </c>
      <c r="C11">
        <v>1</v>
      </c>
      <c r="D11">
        <v>0</v>
      </c>
      <c r="E11">
        <v>0</v>
      </c>
      <c r="F11">
        <v>0</v>
      </c>
      <c r="G11">
        <v>0</v>
      </c>
    </row>
    <row r="12" spans="1:7" x14ac:dyDescent="0.25">
      <c r="A12">
        <v>162</v>
      </c>
      <c r="B12" t="s">
        <v>168</v>
      </c>
      <c r="C12">
        <v>6</v>
      </c>
      <c r="D12">
        <v>0</v>
      </c>
      <c r="E12">
        <v>0</v>
      </c>
      <c r="F12">
        <v>0</v>
      </c>
      <c r="G12">
        <v>0</v>
      </c>
    </row>
    <row r="13" spans="1:7" x14ac:dyDescent="0.25">
      <c r="A13">
        <v>180</v>
      </c>
      <c r="B13" t="s">
        <v>186</v>
      </c>
      <c r="C13">
        <v>6</v>
      </c>
      <c r="D13">
        <v>0</v>
      </c>
      <c r="E13">
        <v>0</v>
      </c>
      <c r="F13">
        <v>0</v>
      </c>
      <c r="G13">
        <v>0</v>
      </c>
    </row>
    <row r="14" spans="1:7" x14ac:dyDescent="0.25">
      <c r="A14">
        <v>184</v>
      </c>
      <c r="B14" t="s">
        <v>190</v>
      </c>
      <c r="C14">
        <v>7</v>
      </c>
      <c r="D14">
        <v>0</v>
      </c>
      <c r="E14">
        <v>0</v>
      </c>
      <c r="F14">
        <v>0</v>
      </c>
      <c r="G14">
        <v>0</v>
      </c>
    </row>
    <row r="15" spans="1:7" x14ac:dyDescent="0.25">
      <c r="A15">
        <v>196</v>
      </c>
      <c r="B15" t="s">
        <v>202</v>
      </c>
      <c r="C15">
        <v>5</v>
      </c>
      <c r="D15">
        <v>0</v>
      </c>
      <c r="E15">
        <v>0</v>
      </c>
      <c r="F15">
        <v>0</v>
      </c>
      <c r="G15">
        <v>0</v>
      </c>
    </row>
    <row r="16" spans="1:7" x14ac:dyDescent="0.25">
      <c r="A16">
        <v>202</v>
      </c>
      <c r="B16" t="s">
        <v>208</v>
      </c>
      <c r="C16">
        <v>1</v>
      </c>
      <c r="D16">
        <v>0</v>
      </c>
      <c r="E16">
        <v>0</v>
      </c>
      <c r="F16">
        <v>0</v>
      </c>
      <c r="G16">
        <v>0</v>
      </c>
    </row>
    <row r="17" spans="1:12" x14ac:dyDescent="0.25">
      <c r="A17">
        <v>231</v>
      </c>
      <c r="B17" t="s">
        <v>237</v>
      </c>
      <c r="C17">
        <v>1</v>
      </c>
      <c r="D17">
        <v>0</v>
      </c>
      <c r="E17">
        <v>0</v>
      </c>
      <c r="F17">
        <v>0</v>
      </c>
      <c r="G17">
        <v>0</v>
      </c>
    </row>
    <row r="18" spans="1:12" x14ac:dyDescent="0.25">
      <c r="A18">
        <v>235</v>
      </c>
      <c r="B18" t="s">
        <v>241</v>
      </c>
      <c r="C18">
        <v>10</v>
      </c>
      <c r="D18">
        <v>0</v>
      </c>
      <c r="E18">
        <v>0</v>
      </c>
      <c r="F18">
        <v>0</v>
      </c>
      <c r="G18">
        <v>0</v>
      </c>
    </row>
    <row r="19" spans="1:12" x14ac:dyDescent="0.25">
      <c r="A19">
        <v>243</v>
      </c>
      <c r="B19" t="s">
        <v>249</v>
      </c>
      <c r="C19">
        <v>3</v>
      </c>
      <c r="D19">
        <v>0</v>
      </c>
      <c r="E19">
        <v>0</v>
      </c>
      <c r="F19">
        <v>0</v>
      </c>
      <c r="G19">
        <v>0</v>
      </c>
    </row>
    <row r="20" spans="1:12" x14ac:dyDescent="0.25">
      <c r="A20">
        <v>253</v>
      </c>
      <c r="B20" t="s">
        <v>259</v>
      </c>
      <c r="C20">
        <v>2</v>
      </c>
      <c r="D20">
        <v>0</v>
      </c>
      <c r="E20">
        <v>0</v>
      </c>
      <c r="F20">
        <v>0</v>
      </c>
      <c r="G20">
        <v>0</v>
      </c>
    </row>
    <row r="21" spans="1:12" x14ac:dyDescent="0.25">
      <c r="A21">
        <v>279</v>
      </c>
      <c r="B21" t="s">
        <v>285</v>
      </c>
      <c r="C21">
        <v>12</v>
      </c>
      <c r="D21">
        <v>0</v>
      </c>
      <c r="E21">
        <v>0</v>
      </c>
      <c r="F21">
        <v>0</v>
      </c>
      <c r="G21">
        <v>0</v>
      </c>
    </row>
    <row r="22" spans="1:12" x14ac:dyDescent="0.25">
      <c r="A22">
        <v>290</v>
      </c>
      <c r="B22" t="s">
        <v>296</v>
      </c>
      <c r="C22">
        <v>2</v>
      </c>
      <c r="D22">
        <v>0</v>
      </c>
      <c r="E22">
        <v>0</v>
      </c>
      <c r="F22">
        <v>0</v>
      </c>
      <c r="G22">
        <v>0</v>
      </c>
    </row>
    <row r="23" spans="1:12" x14ac:dyDescent="0.25">
      <c r="A23">
        <v>299</v>
      </c>
      <c r="B23" t="s">
        <v>305</v>
      </c>
      <c r="C23">
        <v>1</v>
      </c>
      <c r="D23">
        <v>0</v>
      </c>
      <c r="E23">
        <v>0</v>
      </c>
      <c r="F23">
        <v>0</v>
      </c>
      <c r="G23">
        <v>0</v>
      </c>
    </row>
    <row r="24" spans="1:12" x14ac:dyDescent="0.25">
      <c r="A24">
        <v>301</v>
      </c>
      <c r="B24" t="s">
        <v>307</v>
      </c>
      <c r="C24">
        <v>3</v>
      </c>
      <c r="D24">
        <v>0</v>
      </c>
      <c r="E24">
        <v>0</v>
      </c>
      <c r="F24">
        <v>0</v>
      </c>
      <c r="G24">
        <v>0</v>
      </c>
      <c r="J24" t="s">
        <v>428</v>
      </c>
      <c r="K24" t="s">
        <v>429</v>
      </c>
      <c r="L24" t="s">
        <v>430</v>
      </c>
    </row>
    <row r="25" spans="1:12" x14ac:dyDescent="0.25">
      <c r="A25">
        <v>302</v>
      </c>
      <c r="B25" t="s">
        <v>308</v>
      </c>
      <c r="C25">
        <v>1</v>
      </c>
      <c r="D25">
        <v>0</v>
      </c>
      <c r="E25">
        <v>0</v>
      </c>
      <c r="F25">
        <v>0</v>
      </c>
      <c r="G25">
        <v>0</v>
      </c>
      <c r="J25" s="1">
        <f>41/422</f>
        <v>9.7156398104265407E-2</v>
      </c>
      <c r="K25" s="1">
        <f>187/422</f>
        <v>0.44312796208530808</v>
      </c>
      <c r="L25" s="1">
        <f>59/422</f>
        <v>0.13981042654028436</v>
      </c>
    </row>
    <row r="26" spans="1:12" x14ac:dyDescent="0.25">
      <c r="A26">
        <v>318</v>
      </c>
      <c r="B26" t="s">
        <v>324</v>
      </c>
      <c r="C26">
        <v>7</v>
      </c>
      <c r="D26">
        <v>0</v>
      </c>
      <c r="E26">
        <v>0</v>
      </c>
      <c r="F26">
        <v>0</v>
      </c>
      <c r="G26">
        <v>0</v>
      </c>
    </row>
    <row r="27" spans="1:12" x14ac:dyDescent="0.25">
      <c r="A27">
        <v>321</v>
      </c>
      <c r="B27" t="s">
        <v>327</v>
      </c>
      <c r="C27">
        <v>1</v>
      </c>
      <c r="D27">
        <v>0</v>
      </c>
      <c r="E27">
        <v>0</v>
      </c>
      <c r="F27">
        <v>0</v>
      </c>
      <c r="G27">
        <v>0</v>
      </c>
    </row>
    <row r="28" spans="1:12" x14ac:dyDescent="0.25">
      <c r="A28">
        <v>329</v>
      </c>
      <c r="B28" t="s">
        <v>335</v>
      </c>
      <c r="C28">
        <v>3</v>
      </c>
      <c r="D28">
        <v>0</v>
      </c>
      <c r="E28">
        <v>0</v>
      </c>
      <c r="F28">
        <v>0</v>
      </c>
      <c r="G28">
        <v>0</v>
      </c>
    </row>
    <row r="29" spans="1:12" x14ac:dyDescent="0.25">
      <c r="A29">
        <v>341</v>
      </c>
      <c r="B29" t="s">
        <v>347</v>
      </c>
      <c r="C29">
        <v>1</v>
      </c>
      <c r="D29">
        <v>0</v>
      </c>
      <c r="E29">
        <v>0</v>
      </c>
      <c r="F29">
        <v>0</v>
      </c>
      <c r="G29">
        <v>0</v>
      </c>
    </row>
    <row r="30" spans="1:12" x14ac:dyDescent="0.25">
      <c r="A30">
        <v>345</v>
      </c>
      <c r="B30" t="s">
        <v>351</v>
      </c>
      <c r="C30">
        <v>1</v>
      </c>
      <c r="D30">
        <v>0</v>
      </c>
      <c r="E30">
        <v>0</v>
      </c>
      <c r="F30">
        <v>0</v>
      </c>
      <c r="G30">
        <v>0</v>
      </c>
    </row>
    <row r="31" spans="1:12" x14ac:dyDescent="0.25">
      <c r="A31">
        <v>353</v>
      </c>
      <c r="B31" t="s">
        <v>359</v>
      </c>
      <c r="C31">
        <v>4</v>
      </c>
      <c r="D31">
        <v>0</v>
      </c>
      <c r="E31">
        <v>0</v>
      </c>
      <c r="F31">
        <v>0</v>
      </c>
      <c r="G31">
        <v>0</v>
      </c>
    </row>
    <row r="32" spans="1:12" x14ac:dyDescent="0.25">
      <c r="A32">
        <v>358</v>
      </c>
      <c r="B32" t="s">
        <v>364</v>
      </c>
      <c r="C32">
        <v>8</v>
      </c>
      <c r="D32">
        <v>0</v>
      </c>
      <c r="E32">
        <v>0</v>
      </c>
      <c r="F32">
        <v>0</v>
      </c>
      <c r="G32">
        <v>0</v>
      </c>
    </row>
    <row r="33" spans="1:7" x14ac:dyDescent="0.25">
      <c r="A33">
        <v>359</v>
      </c>
      <c r="B33" t="s">
        <v>365</v>
      </c>
      <c r="C33">
        <v>3</v>
      </c>
      <c r="D33">
        <v>0</v>
      </c>
      <c r="E33">
        <v>0</v>
      </c>
      <c r="F33">
        <v>0</v>
      </c>
      <c r="G33">
        <v>0</v>
      </c>
    </row>
    <row r="34" spans="1:7" x14ac:dyDescent="0.25">
      <c r="A34">
        <v>367</v>
      </c>
      <c r="B34" t="s">
        <v>373</v>
      </c>
      <c r="C34">
        <v>6</v>
      </c>
      <c r="D34">
        <v>0</v>
      </c>
      <c r="E34">
        <v>0</v>
      </c>
      <c r="F34">
        <v>0</v>
      </c>
      <c r="G34">
        <v>0</v>
      </c>
    </row>
    <row r="35" spans="1:7" x14ac:dyDescent="0.25">
      <c r="A35">
        <v>368</v>
      </c>
      <c r="B35" t="s">
        <v>374</v>
      </c>
      <c r="C35">
        <v>5</v>
      </c>
      <c r="D35">
        <v>0</v>
      </c>
      <c r="E35">
        <v>0</v>
      </c>
      <c r="F35">
        <v>0</v>
      </c>
      <c r="G35">
        <v>0</v>
      </c>
    </row>
    <row r="36" spans="1:7" x14ac:dyDescent="0.25">
      <c r="A36">
        <v>371</v>
      </c>
      <c r="B36" t="s">
        <v>377</v>
      </c>
      <c r="C36">
        <v>3</v>
      </c>
      <c r="D36">
        <v>0</v>
      </c>
      <c r="E36">
        <v>0</v>
      </c>
      <c r="F36">
        <v>0</v>
      </c>
      <c r="G36">
        <v>0</v>
      </c>
    </row>
    <row r="37" spans="1:7" x14ac:dyDescent="0.25">
      <c r="A37">
        <v>375</v>
      </c>
      <c r="B37" t="s">
        <v>381</v>
      </c>
      <c r="C37">
        <v>1</v>
      </c>
      <c r="D37">
        <v>0</v>
      </c>
      <c r="E37">
        <v>0</v>
      </c>
      <c r="F37">
        <v>0</v>
      </c>
      <c r="G37">
        <v>0</v>
      </c>
    </row>
    <row r="38" spans="1:7" x14ac:dyDescent="0.25">
      <c r="A38">
        <v>383</v>
      </c>
      <c r="B38" t="s">
        <v>389</v>
      </c>
      <c r="C38">
        <v>5</v>
      </c>
      <c r="D38">
        <v>0</v>
      </c>
      <c r="E38">
        <v>0</v>
      </c>
      <c r="F38">
        <v>0</v>
      </c>
      <c r="G38">
        <v>0</v>
      </c>
    </row>
    <row r="39" spans="1:7" x14ac:dyDescent="0.25">
      <c r="A39">
        <v>391</v>
      </c>
      <c r="B39" t="s">
        <v>397</v>
      </c>
      <c r="C39">
        <v>6</v>
      </c>
      <c r="D39">
        <v>0</v>
      </c>
      <c r="E39">
        <v>0</v>
      </c>
      <c r="F39">
        <v>0</v>
      </c>
      <c r="G39">
        <v>0</v>
      </c>
    </row>
    <row r="40" spans="1:7" x14ac:dyDescent="0.25">
      <c r="A40">
        <v>395</v>
      </c>
      <c r="B40" t="s">
        <v>401</v>
      </c>
      <c r="C40">
        <v>5</v>
      </c>
      <c r="D40">
        <v>0</v>
      </c>
      <c r="E40">
        <v>0</v>
      </c>
      <c r="F40">
        <v>0</v>
      </c>
      <c r="G40">
        <v>0</v>
      </c>
    </row>
    <row r="41" spans="1:7" x14ac:dyDescent="0.25">
      <c r="A41">
        <v>407</v>
      </c>
      <c r="B41" t="s">
        <v>413</v>
      </c>
      <c r="C41">
        <v>3</v>
      </c>
      <c r="D41">
        <v>0</v>
      </c>
      <c r="E41">
        <v>0</v>
      </c>
      <c r="F41">
        <v>0</v>
      </c>
      <c r="G41">
        <v>0</v>
      </c>
    </row>
    <row r="42" spans="1:7" x14ac:dyDescent="0.25">
      <c r="A42">
        <v>414</v>
      </c>
      <c r="B42" t="s">
        <v>420</v>
      </c>
      <c r="C42">
        <v>1</v>
      </c>
      <c r="D42">
        <v>0</v>
      </c>
      <c r="E42">
        <v>0</v>
      </c>
      <c r="F42">
        <v>0</v>
      </c>
      <c r="G42">
        <v>0</v>
      </c>
    </row>
    <row r="43" spans="1:7" x14ac:dyDescent="0.25">
      <c r="A43">
        <v>37</v>
      </c>
      <c r="B43" t="s">
        <v>43</v>
      </c>
      <c r="C43">
        <v>5</v>
      </c>
      <c r="D43">
        <v>1</v>
      </c>
      <c r="E43">
        <v>1</v>
      </c>
      <c r="F43">
        <v>0</v>
      </c>
      <c r="G43">
        <v>2</v>
      </c>
    </row>
    <row r="44" spans="1:7" x14ac:dyDescent="0.25">
      <c r="A44">
        <v>135</v>
      </c>
      <c r="B44" t="s">
        <v>141</v>
      </c>
      <c r="C44">
        <v>2</v>
      </c>
      <c r="D44">
        <v>1</v>
      </c>
      <c r="E44">
        <v>1</v>
      </c>
      <c r="F44">
        <v>0</v>
      </c>
      <c r="G44">
        <v>0</v>
      </c>
    </row>
    <row r="45" spans="1:7" x14ac:dyDescent="0.25">
      <c r="A45">
        <v>170</v>
      </c>
      <c r="B45" t="s">
        <v>176</v>
      </c>
      <c r="C45">
        <v>2</v>
      </c>
      <c r="D45">
        <v>1</v>
      </c>
      <c r="E45">
        <v>1</v>
      </c>
      <c r="F45">
        <v>0</v>
      </c>
      <c r="G45">
        <v>0</v>
      </c>
    </row>
    <row r="46" spans="1:7" x14ac:dyDescent="0.25">
      <c r="A46">
        <v>265</v>
      </c>
      <c r="B46" t="s">
        <v>271</v>
      </c>
      <c r="C46">
        <v>2</v>
      </c>
      <c r="D46">
        <v>1</v>
      </c>
      <c r="E46">
        <v>1</v>
      </c>
      <c r="F46">
        <v>0</v>
      </c>
      <c r="G46">
        <v>0</v>
      </c>
    </row>
    <row r="47" spans="1:7" x14ac:dyDescent="0.25">
      <c r="A47">
        <v>308</v>
      </c>
      <c r="B47" t="s">
        <v>314</v>
      </c>
      <c r="C47">
        <v>5</v>
      </c>
      <c r="D47">
        <v>1</v>
      </c>
      <c r="E47">
        <v>1</v>
      </c>
      <c r="F47">
        <v>0</v>
      </c>
      <c r="G47">
        <v>227</v>
      </c>
    </row>
    <row r="48" spans="1:7" x14ac:dyDescent="0.25">
      <c r="A48">
        <v>347</v>
      </c>
      <c r="B48" t="s">
        <v>353</v>
      </c>
      <c r="C48">
        <v>6</v>
      </c>
      <c r="D48">
        <v>1</v>
      </c>
      <c r="E48">
        <v>1</v>
      </c>
      <c r="F48">
        <v>0</v>
      </c>
      <c r="G48">
        <v>0</v>
      </c>
    </row>
    <row r="49" spans="1:7" x14ac:dyDescent="0.25">
      <c r="A49">
        <v>351</v>
      </c>
      <c r="B49" t="s">
        <v>357</v>
      </c>
      <c r="C49">
        <v>2</v>
      </c>
      <c r="D49">
        <v>1</v>
      </c>
      <c r="E49">
        <v>1</v>
      </c>
      <c r="F49">
        <v>0</v>
      </c>
      <c r="G49">
        <v>0</v>
      </c>
    </row>
    <row r="50" spans="1:7" x14ac:dyDescent="0.25">
      <c r="A50">
        <v>356</v>
      </c>
      <c r="B50" t="s">
        <v>362</v>
      </c>
      <c r="C50">
        <v>9</v>
      </c>
      <c r="D50">
        <v>1</v>
      </c>
      <c r="E50">
        <v>1</v>
      </c>
      <c r="F50">
        <v>0</v>
      </c>
      <c r="G50">
        <v>1</v>
      </c>
    </row>
    <row r="51" spans="1:7" x14ac:dyDescent="0.25">
      <c r="A51">
        <v>365</v>
      </c>
      <c r="B51" t="s">
        <v>371</v>
      </c>
      <c r="C51">
        <v>2</v>
      </c>
      <c r="D51">
        <v>1</v>
      </c>
      <c r="E51">
        <v>1</v>
      </c>
      <c r="F51">
        <v>0</v>
      </c>
      <c r="G51">
        <v>0</v>
      </c>
    </row>
    <row r="52" spans="1:7" x14ac:dyDescent="0.25">
      <c r="A52">
        <v>418</v>
      </c>
      <c r="B52" t="s">
        <v>424</v>
      </c>
      <c r="C52">
        <v>2</v>
      </c>
      <c r="D52">
        <v>1</v>
      </c>
      <c r="E52">
        <v>1</v>
      </c>
      <c r="F52">
        <v>0</v>
      </c>
      <c r="G52">
        <v>79</v>
      </c>
    </row>
    <row r="53" spans="1:7" x14ac:dyDescent="0.25">
      <c r="A53">
        <v>165</v>
      </c>
      <c r="B53" t="s">
        <v>171</v>
      </c>
      <c r="C53">
        <v>5</v>
      </c>
      <c r="D53">
        <v>2</v>
      </c>
      <c r="E53">
        <v>2</v>
      </c>
      <c r="F53">
        <v>0</v>
      </c>
      <c r="G53">
        <v>300</v>
      </c>
    </row>
    <row r="54" spans="1:7" x14ac:dyDescent="0.25">
      <c r="A54">
        <v>187</v>
      </c>
      <c r="B54" t="s">
        <v>193</v>
      </c>
      <c r="C54">
        <v>5</v>
      </c>
      <c r="D54">
        <v>2</v>
      </c>
      <c r="E54">
        <v>2</v>
      </c>
      <c r="F54">
        <v>0</v>
      </c>
      <c r="G54">
        <v>634</v>
      </c>
    </row>
    <row r="55" spans="1:7" x14ac:dyDescent="0.25">
      <c r="A55">
        <v>210</v>
      </c>
      <c r="B55" t="s">
        <v>216</v>
      </c>
      <c r="C55">
        <v>6</v>
      </c>
      <c r="D55">
        <v>2</v>
      </c>
      <c r="E55">
        <v>2</v>
      </c>
      <c r="F55">
        <v>0</v>
      </c>
      <c r="G55">
        <v>0</v>
      </c>
    </row>
    <row r="56" spans="1:7" x14ac:dyDescent="0.25">
      <c r="A56">
        <v>420</v>
      </c>
      <c r="B56" t="s">
        <v>426</v>
      </c>
      <c r="C56">
        <v>10</v>
      </c>
      <c r="D56">
        <v>2</v>
      </c>
      <c r="E56">
        <v>2</v>
      </c>
      <c r="F56">
        <v>0</v>
      </c>
      <c r="G56">
        <v>3</v>
      </c>
    </row>
    <row r="57" spans="1:7" x14ac:dyDescent="0.25">
      <c r="A57">
        <v>16</v>
      </c>
      <c r="B57" t="s">
        <v>22</v>
      </c>
      <c r="C57">
        <v>5</v>
      </c>
      <c r="D57">
        <v>3</v>
      </c>
      <c r="E57">
        <v>3</v>
      </c>
      <c r="F57">
        <v>0</v>
      </c>
      <c r="G57">
        <v>0</v>
      </c>
    </row>
    <row r="58" spans="1:7" x14ac:dyDescent="0.25">
      <c r="A58">
        <v>212</v>
      </c>
      <c r="B58" t="s">
        <v>218</v>
      </c>
      <c r="C58">
        <v>6</v>
      </c>
      <c r="D58">
        <v>3</v>
      </c>
      <c r="E58">
        <v>3</v>
      </c>
      <c r="F58">
        <v>0</v>
      </c>
      <c r="G58">
        <v>2937</v>
      </c>
    </row>
    <row r="59" spans="1:7" x14ac:dyDescent="0.25">
      <c r="A59">
        <v>339</v>
      </c>
      <c r="B59" t="s">
        <v>345</v>
      </c>
      <c r="C59">
        <v>7</v>
      </c>
      <c r="D59">
        <v>4</v>
      </c>
      <c r="E59">
        <v>4</v>
      </c>
      <c r="F59">
        <v>0</v>
      </c>
      <c r="G59">
        <v>1620</v>
      </c>
    </row>
    <row r="60" spans="1:7" x14ac:dyDescent="0.25">
      <c r="A60">
        <v>160</v>
      </c>
      <c r="B60" t="s">
        <v>166</v>
      </c>
      <c r="C60">
        <v>9</v>
      </c>
      <c r="D60">
        <v>6</v>
      </c>
      <c r="E60">
        <v>6</v>
      </c>
      <c r="F60">
        <v>0</v>
      </c>
      <c r="G60">
        <v>2734</v>
      </c>
    </row>
    <row r="61" spans="1:7" x14ac:dyDescent="0.25">
      <c r="A61">
        <v>5</v>
      </c>
      <c r="B61" t="s">
        <v>11</v>
      </c>
      <c r="C61">
        <v>9</v>
      </c>
      <c r="D61">
        <v>1</v>
      </c>
      <c r="E61">
        <v>0</v>
      </c>
      <c r="F61">
        <v>1</v>
      </c>
      <c r="G61">
        <v>3351</v>
      </c>
    </row>
    <row r="62" spans="1:7" x14ac:dyDescent="0.25">
      <c r="A62">
        <v>65</v>
      </c>
      <c r="B62" t="s">
        <v>71</v>
      </c>
      <c r="C62">
        <v>6</v>
      </c>
      <c r="D62">
        <v>1</v>
      </c>
      <c r="E62">
        <v>0</v>
      </c>
      <c r="F62">
        <v>1</v>
      </c>
      <c r="G62">
        <v>0</v>
      </c>
    </row>
    <row r="63" spans="1:7" x14ac:dyDescent="0.25">
      <c r="A63">
        <v>75</v>
      </c>
      <c r="B63" t="s">
        <v>81</v>
      </c>
      <c r="C63">
        <v>2</v>
      </c>
      <c r="D63">
        <v>1</v>
      </c>
      <c r="E63">
        <v>0</v>
      </c>
      <c r="F63">
        <v>1</v>
      </c>
      <c r="G63">
        <v>0</v>
      </c>
    </row>
    <row r="64" spans="1:7" x14ac:dyDescent="0.25">
      <c r="A64">
        <v>92</v>
      </c>
      <c r="B64" t="s">
        <v>98</v>
      </c>
      <c r="C64">
        <v>4</v>
      </c>
      <c r="D64">
        <v>1</v>
      </c>
      <c r="E64">
        <v>0</v>
      </c>
      <c r="F64">
        <v>1</v>
      </c>
      <c r="G64">
        <v>9</v>
      </c>
    </row>
    <row r="65" spans="1:7" x14ac:dyDescent="0.25">
      <c r="A65">
        <v>102</v>
      </c>
      <c r="B65" t="s">
        <v>108</v>
      </c>
      <c r="C65">
        <v>10</v>
      </c>
      <c r="D65">
        <v>1</v>
      </c>
      <c r="E65">
        <v>0</v>
      </c>
      <c r="F65">
        <v>1</v>
      </c>
      <c r="G65">
        <v>0</v>
      </c>
    </row>
    <row r="66" spans="1:7" x14ac:dyDescent="0.25">
      <c r="A66">
        <v>111</v>
      </c>
      <c r="B66" t="s">
        <v>117</v>
      </c>
      <c r="C66">
        <v>7</v>
      </c>
      <c r="D66">
        <v>1</v>
      </c>
      <c r="E66">
        <v>0</v>
      </c>
      <c r="F66">
        <v>1</v>
      </c>
      <c r="G66">
        <v>1</v>
      </c>
    </row>
    <row r="67" spans="1:7" x14ac:dyDescent="0.25">
      <c r="A67">
        <v>127</v>
      </c>
      <c r="B67" t="s">
        <v>133</v>
      </c>
      <c r="C67">
        <v>5</v>
      </c>
      <c r="D67">
        <v>1</v>
      </c>
      <c r="E67">
        <v>0</v>
      </c>
      <c r="F67">
        <v>1</v>
      </c>
      <c r="G67">
        <v>406</v>
      </c>
    </row>
    <row r="68" spans="1:7" x14ac:dyDescent="0.25">
      <c r="A68">
        <v>136</v>
      </c>
      <c r="B68" t="s">
        <v>142</v>
      </c>
      <c r="C68">
        <v>6</v>
      </c>
      <c r="D68">
        <v>1</v>
      </c>
      <c r="E68">
        <v>0</v>
      </c>
      <c r="F68">
        <v>1</v>
      </c>
      <c r="G68">
        <v>0</v>
      </c>
    </row>
    <row r="69" spans="1:7" x14ac:dyDescent="0.25">
      <c r="A69">
        <v>144</v>
      </c>
      <c r="B69" t="s">
        <v>150</v>
      </c>
      <c r="C69">
        <v>4</v>
      </c>
      <c r="D69">
        <v>1</v>
      </c>
      <c r="E69">
        <v>0</v>
      </c>
      <c r="F69">
        <v>1</v>
      </c>
      <c r="G69">
        <v>0</v>
      </c>
    </row>
    <row r="70" spans="1:7" x14ac:dyDescent="0.25">
      <c r="A70">
        <v>164</v>
      </c>
      <c r="B70" t="s">
        <v>170</v>
      </c>
      <c r="C70">
        <v>2</v>
      </c>
      <c r="D70">
        <v>1</v>
      </c>
      <c r="E70">
        <v>0</v>
      </c>
      <c r="F70">
        <v>1</v>
      </c>
      <c r="G70">
        <v>1</v>
      </c>
    </row>
    <row r="71" spans="1:7" x14ac:dyDescent="0.25">
      <c r="A71">
        <v>171</v>
      </c>
      <c r="B71" t="s">
        <v>177</v>
      </c>
      <c r="C71">
        <v>4</v>
      </c>
      <c r="D71">
        <v>1</v>
      </c>
      <c r="E71">
        <v>0</v>
      </c>
      <c r="F71">
        <v>1</v>
      </c>
      <c r="G71">
        <v>0</v>
      </c>
    </row>
    <row r="72" spans="1:7" x14ac:dyDescent="0.25">
      <c r="A72">
        <v>176</v>
      </c>
      <c r="B72" t="s">
        <v>182</v>
      </c>
      <c r="C72">
        <v>16</v>
      </c>
      <c r="D72">
        <v>1</v>
      </c>
      <c r="E72">
        <v>0</v>
      </c>
      <c r="F72">
        <v>1</v>
      </c>
      <c r="G72">
        <v>2205</v>
      </c>
    </row>
    <row r="73" spans="1:7" x14ac:dyDescent="0.25">
      <c r="A73">
        <v>182</v>
      </c>
      <c r="B73" t="s">
        <v>188</v>
      </c>
      <c r="C73">
        <v>3</v>
      </c>
      <c r="D73">
        <v>1</v>
      </c>
      <c r="E73">
        <v>0</v>
      </c>
      <c r="F73">
        <v>1</v>
      </c>
      <c r="G73">
        <v>3150</v>
      </c>
    </row>
    <row r="74" spans="1:7" x14ac:dyDescent="0.25">
      <c r="A74">
        <v>197</v>
      </c>
      <c r="B74" t="s">
        <v>203</v>
      </c>
      <c r="C74">
        <v>2</v>
      </c>
      <c r="D74">
        <v>1</v>
      </c>
      <c r="E74">
        <v>0</v>
      </c>
      <c r="F74">
        <v>1</v>
      </c>
      <c r="G74">
        <v>1860</v>
      </c>
    </row>
    <row r="75" spans="1:7" x14ac:dyDescent="0.25">
      <c r="A75">
        <v>204</v>
      </c>
      <c r="B75" t="s">
        <v>210</v>
      </c>
      <c r="C75">
        <v>4</v>
      </c>
      <c r="D75">
        <v>1</v>
      </c>
      <c r="E75">
        <v>0</v>
      </c>
      <c r="F75">
        <v>1</v>
      </c>
      <c r="G75">
        <v>3</v>
      </c>
    </row>
    <row r="76" spans="1:7" x14ac:dyDescent="0.25">
      <c r="A76">
        <v>214</v>
      </c>
      <c r="B76" t="s">
        <v>220</v>
      </c>
      <c r="C76">
        <v>8</v>
      </c>
      <c r="D76">
        <v>1</v>
      </c>
      <c r="E76">
        <v>0</v>
      </c>
      <c r="F76">
        <v>1</v>
      </c>
      <c r="G76">
        <v>8</v>
      </c>
    </row>
    <row r="77" spans="1:7" x14ac:dyDescent="0.25">
      <c r="A77">
        <v>237</v>
      </c>
      <c r="B77" t="s">
        <v>243</v>
      </c>
      <c r="C77">
        <v>2</v>
      </c>
      <c r="D77">
        <v>1</v>
      </c>
      <c r="E77">
        <v>0</v>
      </c>
      <c r="F77">
        <v>1</v>
      </c>
      <c r="G77">
        <v>0</v>
      </c>
    </row>
    <row r="78" spans="1:7" x14ac:dyDescent="0.25">
      <c r="A78">
        <v>271</v>
      </c>
      <c r="B78" t="s">
        <v>277</v>
      </c>
      <c r="C78">
        <v>10</v>
      </c>
      <c r="D78">
        <v>1</v>
      </c>
      <c r="E78">
        <v>0</v>
      </c>
      <c r="F78">
        <v>1</v>
      </c>
      <c r="G78">
        <v>0</v>
      </c>
    </row>
    <row r="79" spans="1:7" x14ac:dyDescent="0.25">
      <c r="A79">
        <v>307</v>
      </c>
      <c r="B79" t="s">
        <v>313</v>
      </c>
      <c r="C79">
        <v>11</v>
      </c>
      <c r="D79">
        <v>1</v>
      </c>
      <c r="E79">
        <v>0</v>
      </c>
      <c r="F79">
        <v>1</v>
      </c>
      <c r="G79">
        <v>0</v>
      </c>
    </row>
    <row r="80" spans="1:7" x14ac:dyDescent="0.25">
      <c r="A80">
        <v>312</v>
      </c>
      <c r="B80" t="s">
        <v>318</v>
      </c>
      <c r="C80">
        <v>7</v>
      </c>
      <c r="D80">
        <v>1</v>
      </c>
      <c r="E80">
        <v>0</v>
      </c>
      <c r="F80">
        <v>1</v>
      </c>
      <c r="G80">
        <v>0</v>
      </c>
    </row>
    <row r="81" spans="1:7" x14ac:dyDescent="0.25">
      <c r="A81">
        <v>313</v>
      </c>
      <c r="B81" t="s">
        <v>319</v>
      </c>
      <c r="C81">
        <v>13</v>
      </c>
      <c r="D81">
        <v>1</v>
      </c>
      <c r="E81">
        <v>0</v>
      </c>
      <c r="F81">
        <v>1</v>
      </c>
      <c r="G81">
        <v>540</v>
      </c>
    </row>
    <row r="82" spans="1:7" x14ac:dyDescent="0.25">
      <c r="A82">
        <v>314</v>
      </c>
      <c r="B82" t="s">
        <v>320</v>
      </c>
      <c r="C82">
        <v>3</v>
      </c>
      <c r="D82">
        <v>1</v>
      </c>
      <c r="E82">
        <v>0</v>
      </c>
      <c r="F82">
        <v>1</v>
      </c>
      <c r="G82">
        <v>0</v>
      </c>
    </row>
    <row r="83" spans="1:7" x14ac:dyDescent="0.25">
      <c r="A83">
        <v>322</v>
      </c>
      <c r="B83" t="s">
        <v>328</v>
      </c>
      <c r="C83">
        <v>7</v>
      </c>
      <c r="D83">
        <v>1</v>
      </c>
      <c r="E83">
        <v>0</v>
      </c>
      <c r="F83">
        <v>1</v>
      </c>
      <c r="G83">
        <v>0</v>
      </c>
    </row>
    <row r="84" spans="1:7" x14ac:dyDescent="0.25">
      <c r="A84">
        <v>333</v>
      </c>
      <c r="B84" t="s">
        <v>339</v>
      </c>
      <c r="C84">
        <v>4</v>
      </c>
      <c r="D84">
        <v>1</v>
      </c>
      <c r="E84">
        <v>0</v>
      </c>
      <c r="F84">
        <v>1</v>
      </c>
      <c r="G84">
        <v>0</v>
      </c>
    </row>
    <row r="85" spans="1:7" x14ac:dyDescent="0.25">
      <c r="A85">
        <v>343</v>
      </c>
      <c r="B85" t="s">
        <v>349</v>
      </c>
      <c r="C85">
        <v>2</v>
      </c>
      <c r="D85">
        <v>1</v>
      </c>
      <c r="E85">
        <v>0</v>
      </c>
      <c r="F85">
        <v>1</v>
      </c>
      <c r="G85">
        <v>4</v>
      </c>
    </row>
    <row r="86" spans="1:7" x14ac:dyDescent="0.25">
      <c r="A86">
        <v>361</v>
      </c>
      <c r="B86" t="s">
        <v>367</v>
      </c>
      <c r="C86">
        <v>6</v>
      </c>
      <c r="D86">
        <v>1</v>
      </c>
      <c r="E86">
        <v>0</v>
      </c>
      <c r="F86">
        <v>1</v>
      </c>
      <c r="G86">
        <v>5</v>
      </c>
    </row>
    <row r="87" spans="1:7" x14ac:dyDescent="0.25">
      <c r="A87">
        <v>363</v>
      </c>
      <c r="B87" t="s">
        <v>369</v>
      </c>
      <c r="C87">
        <v>2</v>
      </c>
      <c r="D87">
        <v>1</v>
      </c>
      <c r="E87">
        <v>0</v>
      </c>
      <c r="F87">
        <v>1</v>
      </c>
      <c r="G87">
        <v>15</v>
      </c>
    </row>
    <row r="88" spans="1:7" x14ac:dyDescent="0.25">
      <c r="A88">
        <v>376</v>
      </c>
      <c r="B88" t="s">
        <v>382</v>
      </c>
      <c r="C88">
        <v>2</v>
      </c>
      <c r="D88">
        <v>1</v>
      </c>
      <c r="E88">
        <v>0</v>
      </c>
      <c r="F88">
        <v>1</v>
      </c>
      <c r="G88">
        <v>0</v>
      </c>
    </row>
    <row r="89" spans="1:7" x14ac:dyDescent="0.25">
      <c r="A89">
        <v>385</v>
      </c>
      <c r="B89" t="s">
        <v>391</v>
      </c>
      <c r="C89">
        <v>5</v>
      </c>
      <c r="D89">
        <v>1</v>
      </c>
      <c r="E89">
        <v>0</v>
      </c>
      <c r="F89">
        <v>1</v>
      </c>
      <c r="G89">
        <v>0</v>
      </c>
    </row>
    <row r="90" spans="1:7" x14ac:dyDescent="0.25">
      <c r="A90">
        <v>390</v>
      </c>
      <c r="B90" t="s">
        <v>396</v>
      </c>
      <c r="C90">
        <v>2</v>
      </c>
      <c r="D90">
        <v>1</v>
      </c>
      <c r="E90">
        <v>0</v>
      </c>
      <c r="F90">
        <v>1</v>
      </c>
      <c r="G90">
        <v>10</v>
      </c>
    </row>
    <row r="91" spans="1:7" x14ac:dyDescent="0.25">
      <c r="A91">
        <v>392</v>
      </c>
      <c r="B91" t="s">
        <v>398</v>
      </c>
      <c r="C91">
        <v>9</v>
      </c>
      <c r="D91">
        <v>1</v>
      </c>
      <c r="E91">
        <v>0</v>
      </c>
      <c r="F91">
        <v>1</v>
      </c>
      <c r="G91">
        <v>54</v>
      </c>
    </row>
    <row r="92" spans="1:7" x14ac:dyDescent="0.25">
      <c r="A92">
        <v>399</v>
      </c>
      <c r="B92" t="s">
        <v>405</v>
      </c>
      <c r="C92">
        <v>8</v>
      </c>
      <c r="D92">
        <v>1</v>
      </c>
      <c r="E92">
        <v>0</v>
      </c>
      <c r="F92">
        <v>1</v>
      </c>
      <c r="G92">
        <v>0</v>
      </c>
    </row>
    <row r="93" spans="1:7" x14ac:dyDescent="0.25">
      <c r="A93">
        <v>401</v>
      </c>
      <c r="B93" t="s">
        <v>407</v>
      </c>
      <c r="C93">
        <v>6</v>
      </c>
      <c r="D93">
        <v>1</v>
      </c>
      <c r="E93">
        <v>0</v>
      </c>
      <c r="F93">
        <v>1</v>
      </c>
      <c r="G93">
        <v>0</v>
      </c>
    </row>
    <row r="94" spans="1:7" x14ac:dyDescent="0.25">
      <c r="A94">
        <v>405</v>
      </c>
      <c r="B94" t="s">
        <v>411</v>
      </c>
      <c r="C94">
        <v>2</v>
      </c>
      <c r="D94">
        <v>1</v>
      </c>
      <c r="E94">
        <v>0</v>
      </c>
      <c r="F94">
        <v>1</v>
      </c>
      <c r="G94">
        <v>720</v>
      </c>
    </row>
    <row r="95" spans="1:7" x14ac:dyDescent="0.25">
      <c r="A95">
        <v>417</v>
      </c>
      <c r="B95" t="s">
        <v>423</v>
      </c>
      <c r="C95">
        <v>2</v>
      </c>
      <c r="D95">
        <v>1</v>
      </c>
      <c r="E95">
        <v>0</v>
      </c>
      <c r="F95">
        <v>1</v>
      </c>
      <c r="G95">
        <v>439</v>
      </c>
    </row>
    <row r="96" spans="1:7" x14ac:dyDescent="0.25">
      <c r="A96">
        <v>63</v>
      </c>
      <c r="B96" t="s">
        <v>69</v>
      </c>
      <c r="C96">
        <v>13</v>
      </c>
      <c r="D96">
        <v>2</v>
      </c>
      <c r="E96">
        <v>1</v>
      </c>
      <c r="F96">
        <v>1</v>
      </c>
      <c r="G96">
        <v>1369</v>
      </c>
    </row>
    <row r="97" spans="1:7" x14ac:dyDescent="0.25">
      <c r="A97">
        <v>67</v>
      </c>
      <c r="B97" t="s">
        <v>73</v>
      </c>
      <c r="C97">
        <v>3</v>
      </c>
      <c r="D97">
        <v>2</v>
      </c>
      <c r="E97">
        <v>1</v>
      </c>
      <c r="F97">
        <v>1</v>
      </c>
      <c r="G97">
        <v>2003</v>
      </c>
    </row>
    <row r="98" spans="1:7" x14ac:dyDescent="0.25">
      <c r="A98">
        <v>74</v>
      </c>
      <c r="B98" t="s">
        <v>80</v>
      </c>
      <c r="C98">
        <v>3</v>
      </c>
      <c r="D98">
        <v>2</v>
      </c>
      <c r="E98">
        <v>1</v>
      </c>
      <c r="F98">
        <v>1</v>
      </c>
      <c r="G98">
        <v>2977</v>
      </c>
    </row>
    <row r="99" spans="1:7" x14ac:dyDescent="0.25">
      <c r="A99">
        <v>120</v>
      </c>
      <c r="B99" t="s">
        <v>126</v>
      </c>
      <c r="C99">
        <v>3</v>
      </c>
      <c r="D99">
        <v>2</v>
      </c>
      <c r="E99">
        <v>1</v>
      </c>
      <c r="F99">
        <v>1</v>
      </c>
      <c r="G99">
        <v>0</v>
      </c>
    </row>
    <row r="100" spans="1:7" x14ac:dyDescent="0.25">
      <c r="A100">
        <v>159</v>
      </c>
      <c r="B100" t="s">
        <v>165</v>
      </c>
      <c r="C100">
        <v>3</v>
      </c>
      <c r="D100">
        <v>2</v>
      </c>
      <c r="E100">
        <v>1</v>
      </c>
      <c r="F100">
        <v>1</v>
      </c>
      <c r="G100">
        <v>1746</v>
      </c>
    </row>
    <row r="101" spans="1:7" x14ac:dyDescent="0.25">
      <c r="A101">
        <v>168</v>
      </c>
      <c r="B101" t="s">
        <v>174</v>
      </c>
      <c r="C101">
        <v>4</v>
      </c>
      <c r="D101">
        <v>2</v>
      </c>
      <c r="E101">
        <v>1</v>
      </c>
      <c r="F101">
        <v>1</v>
      </c>
      <c r="G101">
        <v>764</v>
      </c>
    </row>
    <row r="102" spans="1:7" x14ac:dyDescent="0.25">
      <c r="A102">
        <v>190</v>
      </c>
      <c r="B102" t="s">
        <v>196</v>
      </c>
      <c r="C102">
        <v>6</v>
      </c>
      <c r="D102">
        <v>2</v>
      </c>
      <c r="E102">
        <v>1</v>
      </c>
      <c r="F102">
        <v>1</v>
      </c>
      <c r="G102">
        <v>2938</v>
      </c>
    </row>
    <row r="103" spans="1:7" x14ac:dyDescent="0.25">
      <c r="A103">
        <v>194</v>
      </c>
      <c r="B103" t="s">
        <v>200</v>
      </c>
      <c r="C103">
        <v>3</v>
      </c>
      <c r="D103">
        <v>2</v>
      </c>
      <c r="E103">
        <v>1</v>
      </c>
      <c r="F103">
        <v>1</v>
      </c>
      <c r="G103">
        <v>0</v>
      </c>
    </row>
    <row r="104" spans="1:7" x14ac:dyDescent="0.25">
      <c r="A104">
        <v>198</v>
      </c>
      <c r="B104" t="s">
        <v>204</v>
      </c>
      <c r="C104">
        <v>8</v>
      </c>
      <c r="D104">
        <v>2</v>
      </c>
      <c r="E104">
        <v>1</v>
      </c>
      <c r="F104">
        <v>1</v>
      </c>
      <c r="G104">
        <v>5</v>
      </c>
    </row>
    <row r="105" spans="1:7" x14ac:dyDescent="0.25">
      <c r="A105">
        <v>326</v>
      </c>
      <c r="B105" t="s">
        <v>332</v>
      </c>
      <c r="C105">
        <v>9</v>
      </c>
      <c r="D105">
        <v>2</v>
      </c>
      <c r="E105">
        <v>1</v>
      </c>
      <c r="F105">
        <v>1</v>
      </c>
      <c r="G105">
        <v>2052</v>
      </c>
    </row>
    <row r="106" spans="1:7" x14ac:dyDescent="0.25">
      <c r="A106">
        <v>387</v>
      </c>
      <c r="B106" t="s">
        <v>393</v>
      </c>
      <c r="C106">
        <v>8</v>
      </c>
      <c r="D106">
        <v>2</v>
      </c>
      <c r="E106">
        <v>1</v>
      </c>
      <c r="F106">
        <v>1</v>
      </c>
      <c r="G106">
        <v>991</v>
      </c>
    </row>
    <row r="107" spans="1:7" x14ac:dyDescent="0.25">
      <c r="A107">
        <v>393</v>
      </c>
      <c r="B107" t="s">
        <v>399</v>
      </c>
      <c r="C107">
        <v>8</v>
      </c>
      <c r="D107">
        <v>2</v>
      </c>
      <c r="E107">
        <v>1</v>
      </c>
      <c r="F107">
        <v>1</v>
      </c>
      <c r="G107">
        <v>310</v>
      </c>
    </row>
    <row r="108" spans="1:7" x14ac:dyDescent="0.25">
      <c r="A108">
        <v>406</v>
      </c>
      <c r="B108" t="s">
        <v>412</v>
      </c>
      <c r="C108">
        <v>5</v>
      </c>
      <c r="D108">
        <v>2</v>
      </c>
      <c r="E108">
        <v>1</v>
      </c>
      <c r="F108">
        <v>1</v>
      </c>
      <c r="G108">
        <v>7</v>
      </c>
    </row>
    <row r="109" spans="1:7" x14ac:dyDescent="0.25">
      <c r="A109">
        <v>14</v>
      </c>
      <c r="B109" t="s">
        <v>20</v>
      </c>
      <c r="C109">
        <v>4</v>
      </c>
      <c r="D109">
        <v>3</v>
      </c>
      <c r="E109">
        <v>2</v>
      </c>
      <c r="F109">
        <v>1</v>
      </c>
      <c r="G109">
        <v>1757</v>
      </c>
    </row>
    <row r="110" spans="1:7" x14ac:dyDescent="0.25">
      <c r="A110">
        <v>249</v>
      </c>
      <c r="B110" t="s">
        <v>255</v>
      </c>
      <c r="C110">
        <v>7</v>
      </c>
      <c r="D110">
        <v>3</v>
      </c>
      <c r="E110">
        <v>2</v>
      </c>
      <c r="F110">
        <v>1</v>
      </c>
      <c r="G110">
        <v>1342</v>
      </c>
    </row>
    <row r="111" spans="1:7" x14ac:dyDescent="0.25">
      <c r="A111">
        <v>289</v>
      </c>
      <c r="B111" t="s">
        <v>295</v>
      </c>
      <c r="C111">
        <v>4</v>
      </c>
      <c r="D111">
        <v>3</v>
      </c>
      <c r="E111">
        <v>2</v>
      </c>
      <c r="F111">
        <v>1</v>
      </c>
      <c r="G111">
        <v>2305</v>
      </c>
    </row>
    <row r="112" spans="1:7" x14ac:dyDescent="0.25">
      <c r="A112">
        <v>226</v>
      </c>
      <c r="B112" t="s">
        <v>232</v>
      </c>
      <c r="C112">
        <v>5</v>
      </c>
      <c r="D112">
        <v>4</v>
      </c>
      <c r="E112">
        <v>3</v>
      </c>
      <c r="F112">
        <v>1</v>
      </c>
      <c r="G112">
        <v>167</v>
      </c>
    </row>
    <row r="113" spans="1:7" x14ac:dyDescent="0.25">
      <c r="A113">
        <v>55</v>
      </c>
      <c r="B113" t="s">
        <v>61</v>
      </c>
      <c r="C113">
        <v>6</v>
      </c>
      <c r="D113">
        <v>5</v>
      </c>
      <c r="E113">
        <v>4</v>
      </c>
      <c r="F113">
        <v>1</v>
      </c>
      <c r="G113">
        <v>823</v>
      </c>
    </row>
    <row r="114" spans="1:7" x14ac:dyDescent="0.25">
      <c r="A114">
        <v>338</v>
      </c>
      <c r="B114" t="s">
        <v>344</v>
      </c>
      <c r="C114">
        <v>21</v>
      </c>
      <c r="D114">
        <v>9</v>
      </c>
      <c r="E114">
        <v>8</v>
      </c>
      <c r="F114">
        <v>1</v>
      </c>
      <c r="G114">
        <v>1560</v>
      </c>
    </row>
    <row r="115" spans="1:7" x14ac:dyDescent="0.25">
      <c r="A115">
        <v>54</v>
      </c>
      <c r="B115" t="s">
        <v>60</v>
      </c>
      <c r="C115">
        <v>8</v>
      </c>
      <c r="D115">
        <v>2</v>
      </c>
      <c r="E115">
        <v>0</v>
      </c>
      <c r="F115">
        <v>2</v>
      </c>
      <c r="G115">
        <v>0</v>
      </c>
    </row>
    <row r="116" spans="1:7" x14ac:dyDescent="0.25">
      <c r="A116">
        <v>106</v>
      </c>
      <c r="B116" t="s">
        <v>112</v>
      </c>
      <c r="C116">
        <v>4</v>
      </c>
      <c r="D116">
        <v>2</v>
      </c>
      <c r="E116">
        <v>0</v>
      </c>
      <c r="F116">
        <v>2</v>
      </c>
      <c r="G116">
        <v>0</v>
      </c>
    </row>
    <row r="117" spans="1:7" x14ac:dyDescent="0.25">
      <c r="A117">
        <v>107</v>
      </c>
      <c r="B117" t="s">
        <v>113</v>
      </c>
      <c r="C117">
        <v>5</v>
      </c>
      <c r="D117">
        <v>2</v>
      </c>
      <c r="E117">
        <v>0</v>
      </c>
      <c r="F117">
        <v>2</v>
      </c>
      <c r="G117">
        <v>0</v>
      </c>
    </row>
    <row r="118" spans="1:7" x14ac:dyDescent="0.25">
      <c r="A118">
        <v>108</v>
      </c>
      <c r="B118" t="s">
        <v>114</v>
      </c>
      <c r="C118">
        <v>5</v>
      </c>
      <c r="D118">
        <v>2</v>
      </c>
      <c r="E118">
        <v>0</v>
      </c>
      <c r="F118">
        <v>2</v>
      </c>
      <c r="G118">
        <v>0</v>
      </c>
    </row>
    <row r="119" spans="1:7" x14ac:dyDescent="0.25">
      <c r="A119">
        <v>122</v>
      </c>
      <c r="B119" t="s">
        <v>128</v>
      </c>
      <c r="C119">
        <v>32</v>
      </c>
      <c r="D119">
        <v>2</v>
      </c>
      <c r="E119">
        <v>0</v>
      </c>
      <c r="F119">
        <v>2</v>
      </c>
      <c r="G119">
        <v>0</v>
      </c>
    </row>
    <row r="120" spans="1:7" x14ac:dyDescent="0.25">
      <c r="A120">
        <v>181</v>
      </c>
      <c r="B120" t="s">
        <v>187</v>
      </c>
      <c r="C120">
        <v>3</v>
      </c>
      <c r="D120">
        <v>2</v>
      </c>
      <c r="E120">
        <v>0</v>
      </c>
      <c r="F120">
        <v>2</v>
      </c>
      <c r="G120">
        <v>0</v>
      </c>
    </row>
    <row r="121" spans="1:7" x14ac:dyDescent="0.25">
      <c r="A121">
        <v>185</v>
      </c>
      <c r="B121" t="s">
        <v>191</v>
      </c>
      <c r="C121">
        <v>3</v>
      </c>
      <c r="D121">
        <v>2</v>
      </c>
      <c r="E121">
        <v>0</v>
      </c>
      <c r="F121">
        <v>2</v>
      </c>
      <c r="G121">
        <v>0</v>
      </c>
    </row>
    <row r="122" spans="1:7" x14ac:dyDescent="0.25">
      <c r="A122">
        <v>201</v>
      </c>
      <c r="B122" t="s">
        <v>207</v>
      </c>
      <c r="C122">
        <v>9</v>
      </c>
      <c r="D122">
        <v>2</v>
      </c>
      <c r="E122">
        <v>0</v>
      </c>
      <c r="F122">
        <v>2</v>
      </c>
      <c r="G122">
        <v>0</v>
      </c>
    </row>
    <row r="123" spans="1:7" x14ac:dyDescent="0.25">
      <c r="A123">
        <v>216</v>
      </c>
      <c r="B123" t="s">
        <v>222</v>
      </c>
      <c r="C123">
        <v>7</v>
      </c>
      <c r="D123">
        <v>2</v>
      </c>
      <c r="E123">
        <v>0</v>
      </c>
      <c r="F123">
        <v>2</v>
      </c>
      <c r="G123">
        <v>0</v>
      </c>
    </row>
    <row r="124" spans="1:7" x14ac:dyDescent="0.25">
      <c r="A124">
        <v>224</v>
      </c>
      <c r="B124" t="s">
        <v>230</v>
      </c>
      <c r="C124">
        <v>3</v>
      </c>
      <c r="D124">
        <v>2</v>
      </c>
      <c r="E124">
        <v>0</v>
      </c>
      <c r="F124">
        <v>2</v>
      </c>
      <c r="G124">
        <v>0</v>
      </c>
    </row>
    <row r="125" spans="1:7" x14ac:dyDescent="0.25">
      <c r="A125">
        <v>258</v>
      </c>
      <c r="B125" t="s">
        <v>264</v>
      </c>
      <c r="C125">
        <v>6</v>
      </c>
      <c r="D125">
        <v>2</v>
      </c>
      <c r="E125">
        <v>0</v>
      </c>
      <c r="F125">
        <v>2</v>
      </c>
      <c r="G125">
        <v>0</v>
      </c>
    </row>
    <row r="126" spans="1:7" x14ac:dyDescent="0.25">
      <c r="A126">
        <v>285</v>
      </c>
      <c r="B126" t="s">
        <v>291</v>
      </c>
      <c r="C126">
        <v>3</v>
      </c>
      <c r="D126">
        <v>2</v>
      </c>
      <c r="E126">
        <v>0</v>
      </c>
      <c r="F126">
        <v>2</v>
      </c>
      <c r="G126">
        <v>474</v>
      </c>
    </row>
    <row r="127" spans="1:7" x14ac:dyDescent="0.25">
      <c r="A127">
        <v>288</v>
      </c>
      <c r="B127" t="s">
        <v>294</v>
      </c>
      <c r="C127">
        <v>3</v>
      </c>
      <c r="D127">
        <v>2</v>
      </c>
      <c r="E127">
        <v>0</v>
      </c>
      <c r="F127">
        <v>2</v>
      </c>
      <c r="G127">
        <v>1</v>
      </c>
    </row>
    <row r="128" spans="1:7" x14ac:dyDescent="0.25">
      <c r="A128">
        <v>317</v>
      </c>
      <c r="B128" t="s">
        <v>323</v>
      </c>
      <c r="C128">
        <v>3</v>
      </c>
      <c r="D128">
        <v>2</v>
      </c>
      <c r="E128">
        <v>0</v>
      </c>
      <c r="F128">
        <v>2</v>
      </c>
      <c r="G128">
        <v>1</v>
      </c>
    </row>
    <row r="129" spans="1:7" x14ac:dyDescent="0.25">
      <c r="A129">
        <v>323</v>
      </c>
      <c r="B129" t="s">
        <v>329</v>
      </c>
      <c r="C129">
        <v>3</v>
      </c>
      <c r="D129">
        <v>2</v>
      </c>
      <c r="E129">
        <v>0</v>
      </c>
      <c r="F129">
        <v>2</v>
      </c>
      <c r="G129">
        <v>5</v>
      </c>
    </row>
    <row r="130" spans="1:7" x14ac:dyDescent="0.25">
      <c r="A130">
        <v>328</v>
      </c>
      <c r="B130" t="s">
        <v>334</v>
      </c>
      <c r="C130">
        <v>3</v>
      </c>
      <c r="D130">
        <v>2</v>
      </c>
      <c r="E130">
        <v>0</v>
      </c>
      <c r="F130">
        <v>2</v>
      </c>
      <c r="G130">
        <v>352</v>
      </c>
    </row>
    <row r="131" spans="1:7" x14ac:dyDescent="0.25">
      <c r="A131">
        <v>344</v>
      </c>
      <c r="B131" t="s">
        <v>350</v>
      </c>
      <c r="C131">
        <v>5</v>
      </c>
      <c r="D131">
        <v>2</v>
      </c>
      <c r="E131">
        <v>0</v>
      </c>
      <c r="F131">
        <v>2</v>
      </c>
      <c r="G131">
        <v>1123</v>
      </c>
    </row>
    <row r="132" spans="1:7" x14ac:dyDescent="0.25">
      <c r="A132">
        <v>366</v>
      </c>
      <c r="B132" t="s">
        <v>372</v>
      </c>
      <c r="C132">
        <v>3</v>
      </c>
      <c r="D132">
        <v>2</v>
      </c>
      <c r="E132">
        <v>0</v>
      </c>
      <c r="F132">
        <v>2</v>
      </c>
      <c r="G132">
        <v>1656</v>
      </c>
    </row>
    <row r="133" spans="1:7" x14ac:dyDescent="0.25">
      <c r="A133">
        <v>370</v>
      </c>
      <c r="B133" t="s">
        <v>376</v>
      </c>
      <c r="C133">
        <v>4</v>
      </c>
      <c r="D133">
        <v>2</v>
      </c>
      <c r="E133">
        <v>0</v>
      </c>
      <c r="F133">
        <v>2</v>
      </c>
      <c r="G133">
        <v>0</v>
      </c>
    </row>
    <row r="134" spans="1:7" x14ac:dyDescent="0.25">
      <c r="A134">
        <v>402</v>
      </c>
      <c r="B134" t="s">
        <v>408</v>
      </c>
      <c r="C134">
        <v>5</v>
      </c>
      <c r="D134">
        <v>2</v>
      </c>
      <c r="E134">
        <v>0</v>
      </c>
      <c r="F134">
        <v>2</v>
      </c>
      <c r="G134">
        <v>0</v>
      </c>
    </row>
    <row r="135" spans="1:7" x14ac:dyDescent="0.25">
      <c r="A135">
        <v>404</v>
      </c>
      <c r="B135" t="s">
        <v>410</v>
      </c>
      <c r="C135">
        <v>4</v>
      </c>
      <c r="D135">
        <v>2</v>
      </c>
      <c r="E135">
        <v>0</v>
      </c>
      <c r="F135">
        <v>2</v>
      </c>
      <c r="G135">
        <v>377</v>
      </c>
    </row>
    <row r="136" spans="1:7" x14ac:dyDescent="0.25">
      <c r="A136">
        <v>412</v>
      </c>
      <c r="B136" t="s">
        <v>418</v>
      </c>
      <c r="C136">
        <v>5</v>
      </c>
      <c r="D136">
        <v>2</v>
      </c>
      <c r="E136">
        <v>0</v>
      </c>
      <c r="F136">
        <v>2</v>
      </c>
      <c r="G136">
        <v>0</v>
      </c>
    </row>
    <row r="137" spans="1:7" x14ac:dyDescent="0.25">
      <c r="A137">
        <v>4</v>
      </c>
      <c r="B137" t="s">
        <v>10</v>
      </c>
      <c r="C137">
        <v>4</v>
      </c>
      <c r="D137">
        <v>3</v>
      </c>
      <c r="E137">
        <v>1</v>
      </c>
      <c r="F137">
        <v>2</v>
      </c>
      <c r="G137">
        <v>0</v>
      </c>
    </row>
    <row r="138" spans="1:7" x14ac:dyDescent="0.25">
      <c r="A138">
        <v>51</v>
      </c>
      <c r="B138" t="s">
        <v>57</v>
      </c>
      <c r="C138">
        <v>7</v>
      </c>
      <c r="D138">
        <v>3</v>
      </c>
      <c r="E138">
        <v>1</v>
      </c>
      <c r="F138">
        <v>2</v>
      </c>
      <c r="G138">
        <v>6</v>
      </c>
    </row>
    <row r="139" spans="1:7" x14ac:dyDescent="0.25">
      <c r="A139">
        <v>59</v>
      </c>
      <c r="B139" t="s">
        <v>65</v>
      </c>
      <c r="C139">
        <v>4</v>
      </c>
      <c r="D139">
        <v>3</v>
      </c>
      <c r="E139">
        <v>1</v>
      </c>
      <c r="F139">
        <v>2</v>
      </c>
      <c r="G139">
        <v>2150</v>
      </c>
    </row>
    <row r="140" spans="1:7" x14ac:dyDescent="0.25">
      <c r="A140">
        <v>66</v>
      </c>
      <c r="B140" t="s">
        <v>72</v>
      </c>
      <c r="C140">
        <v>16</v>
      </c>
      <c r="D140">
        <v>3</v>
      </c>
      <c r="E140">
        <v>1</v>
      </c>
      <c r="F140">
        <v>2</v>
      </c>
      <c r="G140">
        <v>0</v>
      </c>
    </row>
    <row r="141" spans="1:7" x14ac:dyDescent="0.25">
      <c r="A141">
        <v>117</v>
      </c>
      <c r="B141" t="s">
        <v>123</v>
      </c>
      <c r="C141">
        <v>4</v>
      </c>
      <c r="D141">
        <v>3</v>
      </c>
      <c r="E141">
        <v>1</v>
      </c>
      <c r="F141">
        <v>2</v>
      </c>
      <c r="G141">
        <v>568</v>
      </c>
    </row>
    <row r="142" spans="1:7" x14ac:dyDescent="0.25">
      <c r="A142">
        <v>139</v>
      </c>
      <c r="B142" t="s">
        <v>145</v>
      </c>
      <c r="C142">
        <v>9</v>
      </c>
      <c r="D142">
        <v>3</v>
      </c>
      <c r="E142">
        <v>1</v>
      </c>
      <c r="F142">
        <v>2</v>
      </c>
      <c r="G142">
        <v>0</v>
      </c>
    </row>
    <row r="143" spans="1:7" x14ac:dyDescent="0.25">
      <c r="A143">
        <v>169</v>
      </c>
      <c r="B143" t="s">
        <v>175</v>
      </c>
      <c r="C143">
        <v>4</v>
      </c>
      <c r="D143">
        <v>3</v>
      </c>
      <c r="E143">
        <v>1</v>
      </c>
      <c r="F143">
        <v>2</v>
      </c>
      <c r="G143">
        <v>0</v>
      </c>
    </row>
    <row r="144" spans="1:7" x14ac:dyDescent="0.25">
      <c r="A144">
        <v>178</v>
      </c>
      <c r="B144" t="s">
        <v>184</v>
      </c>
      <c r="C144">
        <v>7</v>
      </c>
      <c r="D144">
        <v>3</v>
      </c>
      <c r="E144">
        <v>1</v>
      </c>
      <c r="F144">
        <v>2</v>
      </c>
      <c r="G144">
        <v>0</v>
      </c>
    </row>
    <row r="145" spans="1:7" x14ac:dyDescent="0.25">
      <c r="A145">
        <v>205</v>
      </c>
      <c r="B145" t="s">
        <v>211</v>
      </c>
      <c r="C145">
        <v>14</v>
      </c>
      <c r="D145">
        <v>3</v>
      </c>
      <c r="E145">
        <v>1</v>
      </c>
      <c r="F145">
        <v>2</v>
      </c>
      <c r="G145">
        <v>1449</v>
      </c>
    </row>
    <row r="146" spans="1:7" x14ac:dyDescent="0.25">
      <c r="A146">
        <v>213</v>
      </c>
      <c r="B146" t="s">
        <v>219</v>
      </c>
      <c r="C146">
        <v>4</v>
      </c>
      <c r="D146">
        <v>3</v>
      </c>
      <c r="E146">
        <v>1</v>
      </c>
      <c r="F146">
        <v>2</v>
      </c>
      <c r="G146">
        <v>0</v>
      </c>
    </row>
    <row r="147" spans="1:7" x14ac:dyDescent="0.25">
      <c r="A147">
        <v>223</v>
      </c>
      <c r="B147" t="s">
        <v>229</v>
      </c>
      <c r="C147">
        <v>19</v>
      </c>
      <c r="D147">
        <v>3</v>
      </c>
      <c r="E147">
        <v>1</v>
      </c>
      <c r="F147">
        <v>2</v>
      </c>
      <c r="G147">
        <v>0</v>
      </c>
    </row>
    <row r="148" spans="1:7" x14ac:dyDescent="0.25">
      <c r="A148">
        <v>248</v>
      </c>
      <c r="B148" t="s">
        <v>254</v>
      </c>
      <c r="C148">
        <v>8</v>
      </c>
      <c r="D148">
        <v>3</v>
      </c>
      <c r="E148">
        <v>1</v>
      </c>
      <c r="F148">
        <v>2</v>
      </c>
      <c r="G148">
        <v>1992</v>
      </c>
    </row>
    <row r="149" spans="1:7" x14ac:dyDescent="0.25">
      <c r="A149">
        <v>262</v>
      </c>
      <c r="B149" t="s">
        <v>268</v>
      </c>
      <c r="C149">
        <v>6</v>
      </c>
      <c r="D149">
        <v>3</v>
      </c>
      <c r="E149">
        <v>1</v>
      </c>
      <c r="F149">
        <v>2</v>
      </c>
      <c r="G149">
        <v>431</v>
      </c>
    </row>
    <row r="150" spans="1:7" x14ac:dyDescent="0.25">
      <c r="A150">
        <v>286</v>
      </c>
      <c r="B150" t="s">
        <v>292</v>
      </c>
      <c r="C150">
        <v>4</v>
      </c>
      <c r="D150">
        <v>3</v>
      </c>
      <c r="E150">
        <v>1</v>
      </c>
      <c r="F150">
        <v>2</v>
      </c>
      <c r="G150">
        <v>456</v>
      </c>
    </row>
    <row r="151" spans="1:7" x14ac:dyDescent="0.25">
      <c r="A151">
        <v>287</v>
      </c>
      <c r="B151" t="s">
        <v>293</v>
      </c>
      <c r="C151">
        <v>10</v>
      </c>
      <c r="D151">
        <v>3</v>
      </c>
      <c r="E151">
        <v>1</v>
      </c>
      <c r="F151">
        <v>2</v>
      </c>
      <c r="G151">
        <v>2141</v>
      </c>
    </row>
    <row r="152" spans="1:7" x14ac:dyDescent="0.25">
      <c r="A152">
        <v>295</v>
      </c>
      <c r="B152" t="s">
        <v>301</v>
      </c>
      <c r="C152">
        <v>4</v>
      </c>
      <c r="D152">
        <v>3</v>
      </c>
      <c r="E152">
        <v>1</v>
      </c>
      <c r="F152">
        <v>2</v>
      </c>
      <c r="G152">
        <v>851</v>
      </c>
    </row>
    <row r="153" spans="1:7" x14ac:dyDescent="0.25">
      <c r="A153">
        <v>379</v>
      </c>
      <c r="B153" t="s">
        <v>385</v>
      </c>
      <c r="C153">
        <v>9</v>
      </c>
      <c r="D153">
        <v>3</v>
      </c>
      <c r="E153">
        <v>1</v>
      </c>
      <c r="F153">
        <v>2</v>
      </c>
      <c r="G153">
        <v>5</v>
      </c>
    </row>
    <row r="154" spans="1:7" x14ac:dyDescent="0.25">
      <c r="A154">
        <v>143</v>
      </c>
      <c r="B154" t="s">
        <v>149</v>
      </c>
      <c r="C154">
        <v>12</v>
      </c>
      <c r="D154">
        <v>4</v>
      </c>
      <c r="E154">
        <v>2</v>
      </c>
      <c r="F154">
        <v>2</v>
      </c>
      <c r="G154">
        <v>1853</v>
      </c>
    </row>
    <row r="155" spans="1:7" x14ac:dyDescent="0.25">
      <c r="A155">
        <v>145</v>
      </c>
      <c r="B155" t="s">
        <v>151</v>
      </c>
      <c r="C155">
        <v>10</v>
      </c>
      <c r="D155">
        <v>4</v>
      </c>
      <c r="E155">
        <v>2</v>
      </c>
      <c r="F155">
        <v>2</v>
      </c>
      <c r="G155">
        <v>2327</v>
      </c>
    </row>
    <row r="156" spans="1:7" x14ac:dyDescent="0.25">
      <c r="A156">
        <v>166</v>
      </c>
      <c r="B156" t="s">
        <v>172</v>
      </c>
      <c r="C156">
        <v>10</v>
      </c>
      <c r="D156">
        <v>4</v>
      </c>
      <c r="E156">
        <v>2</v>
      </c>
      <c r="F156">
        <v>2</v>
      </c>
      <c r="G156">
        <v>657</v>
      </c>
    </row>
    <row r="157" spans="1:7" x14ac:dyDescent="0.25">
      <c r="A157">
        <v>255</v>
      </c>
      <c r="B157" t="s">
        <v>261</v>
      </c>
      <c r="C157">
        <v>7</v>
      </c>
      <c r="D157">
        <v>4</v>
      </c>
      <c r="E157">
        <v>2</v>
      </c>
      <c r="F157">
        <v>2</v>
      </c>
      <c r="G157">
        <v>2696</v>
      </c>
    </row>
    <row r="158" spans="1:7" x14ac:dyDescent="0.25">
      <c r="A158">
        <v>266</v>
      </c>
      <c r="B158" t="s">
        <v>272</v>
      </c>
      <c r="C158">
        <v>7</v>
      </c>
      <c r="D158">
        <v>4</v>
      </c>
      <c r="E158">
        <v>2</v>
      </c>
      <c r="F158">
        <v>2</v>
      </c>
      <c r="G158">
        <v>1208</v>
      </c>
    </row>
    <row r="159" spans="1:7" x14ac:dyDescent="0.25">
      <c r="A159">
        <v>372</v>
      </c>
      <c r="B159" t="s">
        <v>378</v>
      </c>
      <c r="C159">
        <v>7</v>
      </c>
      <c r="D159">
        <v>4</v>
      </c>
      <c r="E159">
        <v>2</v>
      </c>
      <c r="F159">
        <v>2</v>
      </c>
      <c r="G159">
        <v>1187</v>
      </c>
    </row>
    <row r="160" spans="1:7" x14ac:dyDescent="0.25">
      <c r="A160">
        <v>25</v>
      </c>
      <c r="B160" t="s">
        <v>31</v>
      </c>
      <c r="C160">
        <v>6</v>
      </c>
      <c r="D160">
        <v>5</v>
      </c>
      <c r="E160">
        <v>3</v>
      </c>
      <c r="F160">
        <v>2</v>
      </c>
      <c r="G160">
        <v>1687</v>
      </c>
    </row>
    <row r="161" spans="1:7" x14ac:dyDescent="0.25">
      <c r="A161">
        <v>1</v>
      </c>
      <c r="B161" t="s">
        <v>7</v>
      </c>
      <c r="C161">
        <v>8</v>
      </c>
      <c r="D161">
        <v>6</v>
      </c>
      <c r="E161">
        <v>4</v>
      </c>
      <c r="F161">
        <v>2</v>
      </c>
      <c r="G161">
        <v>2490</v>
      </c>
    </row>
    <row r="162" spans="1:7" x14ac:dyDescent="0.25">
      <c r="A162">
        <v>56</v>
      </c>
      <c r="B162" t="s">
        <v>62</v>
      </c>
      <c r="C162">
        <v>7</v>
      </c>
      <c r="D162">
        <v>6</v>
      </c>
      <c r="E162">
        <v>4</v>
      </c>
      <c r="F162">
        <v>2</v>
      </c>
      <c r="G162">
        <v>2695</v>
      </c>
    </row>
    <row r="163" spans="1:7" x14ac:dyDescent="0.25">
      <c r="A163">
        <v>300</v>
      </c>
      <c r="B163" t="s">
        <v>306</v>
      </c>
      <c r="C163">
        <v>7</v>
      </c>
      <c r="D163">
        <v>6</v>
      </c>
      <c r="E163">
        <v>4</v>
      </c>
      <c r="F163">
        <v>2</v>
      </c>
      <c r="G163">
        <v>1860</v>
      </c>
    </row>
    <row r="164" spans="1:7" x14ac:dyDescent="0.25">
      <c r="A164">
        <v>206</v>
      </c>
      <c r="B164" t="s">
        <v>212</v>
      </c>
      <c r="C164">
        <v>11</v>
      </c>
      <c r="D164">
        <v>7</v>
      </c>
      <c r="E164">
        <v>5</v>
      </c>
      <c r="F164">
        <v>2</v>
      </c>
      <c r="G164">
        <v>2714</v>
      </c>
    </row>
    <row r="165" spans="1:7" x14ac:dyDescent="0.25">
      <c r="A165">
        <v>8</v>
      </c>
      <c r="B165" t="s">
        <v>14</v>
      </c>
      <c r="C165">
        <v>9</v>
      </c>
      <c r="D165">
        <v>3</v>
      </c>
      <c r="E165">
        <v>0</v>
      </c>
      <c r="F165">
        <v>3</v>
      </c>
      <c r="G165">
        <v>5</v>
      </c>
    </row>
    <row r="166" spans="1:7" x14ac:dyDescent="0.25">
      <c r="A166">
        <v>19</v>
      </c>
      <c r="B166" t="s">
        <v>25</v>
      </c>
      <c r="C166">
        <v>5</v>
      </c>
      <c r="D166">
        <v>3</v>
      </c>
      <c r="E166">
        <v>0</v>
      </c>
      <c r="F166">
        <v>3</v>
      </c>
      <c r="G166">
        <v>3184</v>
      </c>
    </row>
    <row r="167" spans="1:7" x14ac:dyDescent="0.25">
      <c r="A167">
        <v>42</v>
      </c>
      <c r="B167" t="s">
        <v>48</v>
      </c>
      <c r="C167">
        <v>8</v>
      </c>
      <c r="D167">
        <v>3</v>
      </c>
      <c r="E167">
        <v>0</v>
      </c>
      <c r="F167">
        <v>3</v>
      </c>
      <c r="G167">
        <v>0</v>
      </c>
    </row>
    <row r="168" spans="1:7" x14ac:dyDescent="0.25">
      <c r="A168">
        <v>53</v>
      </c>
      <c r="B168" t="s">
        <v>59</v>
      </c>
      <c r="C168">
        <v>7</v>
      </c>
      <c r="D168">
        <v>3</v>
      </c>
      <c r="E168">
        <v>0</v>
      </c>
      <c r="F168">
        <v>3</v>
      </c>
      <c r="G168">
        <v>1</v>
      </c>
    </row>
    <row r="169" spans="1:7" x14ac:dyDescent="0.25">
      <c r="A169">
        <v>69</v>
      </c>
      <c r="B169" t="s">
        <v>75</v>
      </c>
      <c r="C169">
        <v>8</v>
      </c>
      <c r="D169">
        <v>3</v>
      </c>
      <c r="E169">
        <v>0</v>
      </c>
      <c r="F169">
        <v>3</v>
      </c>
      <c r="G169">
        <v>4</v>
      </c>
    </row>
    <row r="170" spans="1:7" x14ac:dyDescent="0.25">
      <c r="A170">
        <v>70</v>
      </c>
      <c r="B170" t="s">
        <v>76</v>
      </c>
      <c r="C170">
        <v>5</v>
      </c>
      <c r="D170">
        <v>3</v>
      </c>
      <c r="E170">
        <v>0</v>
      </c>
      <c r="F170">
        <v>3</v>
      </c>
      <c r="G170">
        <v>1039</v>
      </c>
    </row>
    <row r="171" spans="1:7" x14ac:dyDescent="0.25">
      <c r="A171">
        <v>72</v>
      </c>
      <c r="B171" t="s">
        <v>78</v>
      </c>
      <c r="C171">
        <v>4</v>
      </c>
      <c r="D171">
        <v>3</v>
      </c>
      <c r="E171">
        <v>0</v>
      </c>
      <c r="F171">
        <v>3</v>
      </c>
      <c r="G171">
        <v>448</v>
      </c>
    </row>
    <row r="172" spans="1:7" x14ac:dyDescent="0.25">
      <c r="A172">
        <v>78</v>
      </c>
      <c r="B172" t="s">
        <v>84</v>
      </c>
      <c r="C172">
        <v>11</v>
      </c>
      <c r="D172">
        <v>3</v>
      </c>
      <c r="E172">
        <v>0</v>
      </c>
      <c r="F172">
        <v>3</v>
      </c>
      <c r="G172">
        <v>2478</v>
      </c>
    </row>
    <row r="173" spans="1:7" x14ac:dyDescent="0.25">
      <c r="A173">
        <v>79</v>
      </c>
      <c r="B173" t="s">
        <v>85</v>
      </c>
      <c r="C173">
        <v>8</v>
      </c>
      <c r="D173">
        <v>3</v>
      </c>
      <c r="E173">
        <v>0</v>
      </c>
      <c r="F173">
        <v>3</v>
      </c>
      <c r="G173">
        <v>569</v>
      </c>
    </row>
    <row r="174" spans="1:7" x14ac:dyDescent="0.25">
      <c r="A174">
        <v>229</v>
      </c>
      <c r="B174" t="s">
        <v>235</v>
      </c>
      <c r="C174">
        <v>6</v>
      </c>
      <c r="D174">
        <v>3</v>
      </c>
      <c r="E174">
        <v>0</v>
      </c>
      <c r="F174">
        <v>3</v>
      </c>
      <c r="G174">
        <v>1</v>
      </c>
    </row>
    <row r="175" spans="1:7" x14ac:dyDescent="0.25">
      <c r="A175">
        <v>234</v>
      </c>
      <c r="B175" t="s">
        <v>240</v>
      </c>
      <c r="C175">
        <v>4</v>
      </c>
      <c r="D175">
        <v>3</v>
      </c>
      <c r="E175">
        <v>0</v>
      </c>
      <c r="F175">
        <v>3</v>
      </c>
      <c r="G175">
        <v>432</v>
      </c>
    </row>
    <row r="176" spans="1:7" x14ac:dyDescent="0.25">
      <c r="A176">
        <v>270</v>
      </c>
      <c r="B176" t="s">
        <v>276</v>
      </c>
      <c r="C176">
        <v>13</v>
      </c>
      <c r="D176">
        <v>3</v>
      </c>
      <c r="E176">
        <v>0</v>
      </c>
      <c r="F176">
        <v>3</v>
      </c>
      <c r="G176">
        <v>1</v>
      </c>
    </row>
    <row r="177" spans="1:7" x14ac:dyDescent="0.25">
      <c r="A177">
        <v>292</v>
      </c>
      <c r="B177" t="s">
        <v>298</v>
      </c>
      <c r="C177">
        <v>4</v>
      </c>
      <c r="D177">
        <v>3</v>
      </c>
      <c r="E177">
        <v>0</v>
      </c>
      <c r="F177">
        <v>3</v>
      </c>
      <c r="G177">
        <v>2201</v>
      </c>
    </row>
    <row r="178" spans="1:7" x14ac:dyDescent="0.25">
      <c r="A178">
        <v>325</v>
      </c>
      <c r="B178" t="s">
        <v>331</v>
      </c>
      <c r="C178">
        <v>13</v>
      </c>
      <c r="D178">
        <v>3</v>
      </c>
      <c r="E178">
        <v>0</v>
      </c>
      <c r="F178">
        <v>3</v>
      </c>
      <c r="G178">
        <v>5</v>
      </c>
    </row>
    <row r="179" spans="1:7" x14ac:dyDescent="0.25">
      <c r="A179">
        <v>336</v>
      </c>
      <c r="B179" t="s">
        <v>342</v>
      </c>
      <c r="C179">
        <v>7</v>
      </c>
      <c r="D179">
        <v>3</v>
      </c>
      <c r="E179">
        <v>0</v>
      </c>
      <c r="F179">
        <v>3</v>
      </c>
      <c r="G179">
        <v>3</v>
      </c>
    </row>
    <row r="180" spans="1:7" x14ac:dyDescent="0.25">
      <c r="A180">
        <v>362</v>
      </c>
      <c r="B180" t="s">
        <v>368</v>
      </c>
      <c r="C180">
        <v>4</v>
      </c>
      <c r="D180">
        <v>3</v>
      </c>
      <c r="E180">
        <v>0</v>
      </c>
      <c r="F180">
        <v>3</v>
      </c>
      <c r="G180">
        <v>0</v>
      </c>
    </row>
    <row r="181" spans="1:7" x14ac:dyDescent="0.25">
      <c r="A181">
        <v>369</v>
      </c>
      <c r="B181" t="s">
        <v>375</v>
      </c>
      <c r="C181">
        <v>6</v>
      </c>
      <c r="D181">
        <v>3</v>
      </c>
      <c r="E181">
        <v>0</v>
      </c>
      <c r="F181">
        <v>3</v>
      </c>
      <c r="G181">
        <v>594</v>
      </c>
    </row>
    <row r="182" spans="1:7" x14ac:dyDescent="0.25">
      <c r="A182">
        <v>378</v>
      </c>
      <c r="B182" t="s">
        <v>384</v>
      </c>
      <c r="C182">
        <v>4</v>
      </c>
      <c r="D182">
        <v>3</v>
      </c>
      <c r="E182">
        <v>0</v>
      </c>
      <c r="F182">
        <v>3</v>
      </c>
      <c r="G182">
        <v>779</v>
      </c>
    </row>
    <row r="183" spans="1:7" x14ac:dyDescent="0.25">
      <c r="A183">
        <v>397</v>
      </c>
      <c r="B183" t="s">
        <v>403</v>
      </c>
      <c r="C183">
        <v>7</v>
      </c>
      <c r="D183">
        <v>3</v>
      </c>
      <c r="E183">
        <v>0</v>
      </c>
      <c r="F183">
        <v>3</v>
      </c>
      <c r="G183">
        <v>79</v>
      </c>
    </row>
    <row r="184" spans="1:7" x14ac:dyDescent="0.25">
      <c r="A184">
        <v>410</v>
      </c>
      <c r="B184" t="s">
        <v>416</v>
      </c>
      <c r="C184">
        <v>4</v>
      </c>
      <c r="D184">
        <v>3</v>
      </c>
      <c r="E184">
        <v>0</v>
      </c>
      <c r="F184">
        <v>3</v>
      </c>
      <c r="G184">
        <v>798</v>
      </c>
    </row>
    <row r="185" spans="1:7" x14ac:dyDescent="0.25">
      <c r="A185">
        <v>15</v>
      </c>
      <c r="B185" t="s">
        <v>21</v>
      </c>
      <c r="C185">
        <v>10</v>
      </c>
      <c r="D185">
        <v>4</v>
      </c>
      <c r="E185">
        <v>1</v>
      </c>
      <c r="F185">
        <v>3</v>
      </c>
      <c r="G185">
        <v>3556</v>
      </c>
    </row>
    <row r="186" spans="1:7" x14ac:dyDescent="0.25">
      <c r="A186">
        <v>86</v>
      </c>
      <c r="B186" t="s">
        <v>92</v>
      </c>
      <c r="C186">
        <v>6</v>
      </c>
      <c r="D186">
        <v>4</v>
      </c>
      <c r="E186">
        <v>1</v>
      </c>
      <c r="F186">
        <v>3</v>
      </c>
      <c r="G186">
        <v>2061</v>
      </c>
    </row>
    <row r="187" spans="1:7" x14ac:dyDescent="0.25">
      <c r="A187">
        <v>241</v>
      </c>
      <c r="B187" t="s">
        <v>247</v>
      </c>
      <c r="C187">
        <v>11</v>
      </c>
      <c r="D187">
        <v>4</v>
      </c>
      <c r="E187">
        <v>1</v>
      </c>
      <c r="F187">
        <v>3</v>
      </c>
      <c r="G187">
        <v>2454</v>
      </c>
    </row>
    <row r="188" spans="1:7" x14ac:dyDescent="0.25">
      <c r="A188">
        <v>250</v>
      </c>
      <c r="B188" t="s">
        <v>256</v>
      </c>
      <c r="C188">
        <v>10</v>
      </c>
      <c r="D188">
        <v>4</v>
      </c>
      <c r="E188">
        <v>1</v>
      </c>
      <c r="F188">
        <v>3</v>
      </c>
      <c r="G188">
        <v>1710</v>
      </c>
    </row>
    <row r="189" spans="1:7" x14ac:dyDescent="0.25">
      <c r="A189">
        <v>260</v>
      </c>
      <c r="B189" t="s">
        <v>266</v>
      </c>
      <c r="C189">
        <v>6</v>
      </c>
      <c r="D189">
        <v>4</v>
      </c>
      <c r="E189">
        <v>1</v>
      </c>
      <c r="F189">
        <v>3</v>
      </c>
      <c r="G189">
        <v>862</v>
      </c>
    </row>
    <row r="190" spans="1:7" x14ac:dyDescent="0.25">
      <c r="A190">
        <v>276</v>
      </c>
      <c r="B190" t="s">
        <v>282</v>
      </c>
      <c r="C190">
        <v>10</v>
      </c>
      <c r="D190">
        <v>4</v>
      </c>
      <c r="E190">
        <v>1</v>
      </c>
      <c r="F190">
        <v>3</v>
      </c>
      <c r="G190">
        <v>0</v>
      </c>
    </row>
    <row r="191" spans="1:7" x14ac:dyDescent="0.25">
      <c r="A191">
        <v>346</v>
      </c>
      <c r="B191" t="s">
        <v>352</v>
      </c>
      <c r="C191">
        <v>5</v>
      </c>
      <c r="D191">
        <v>4</v>
      </c>
      <c r="E191">
        <v>1</v>
      </c>
      <c r="F191">
        <v>3</v>
      </c>
      <c r="G191">
        <v>0</v>
      </c>
    </row>
    <row r="192" spans="1:7" x14ac:dyDescent="0.25">
      <c r="A192">
        <v>364</v>
      </c>
      <c r="B192" t="s">
        <v>370</v>
      </c>
      <c r="C192">
        <v>6</v>
      </c>
      <c r="D192">
        <v>4</v>
      </c>
      <c r="E192">
        <v>1</v>
      </c>
      <c r="F192">
        <v>3</v>
      </c>
      <c r="G192">
        <v>1198</v>
      </c>
    </row>
    <row r="193" spans="1:7" x14ac:dyDescent="0.25">
      <c r="A193">
        <v>384</v>
      </c>
      <c r="B193" t="s">
        <v>390</v>
      </c>
      <c r="C193">
        <v>5</v>
      </c>
      <c r="D193">
        <v>4</v>
      </c>
      <c r="E193">
        <v>1</v>
      </c>
      <c r="F193">
        <v>3</v>
      </c>
      <c r="G193">
        <v>257</v>
      </c>
    </row>
    <row r="194" spans="1:7" x14ac:dyDescent="0.25">
      <c r="A194">
        <v>23</v>
      </c>
      <c r="B194" t="s">
        <v>29</v>
      </c>
      <c r="C194">
        <v>6</v>
      </c>
      <c r="D194">
        <v>5</v>
      </c>
      <c r="E194">
        <v>2</v>
      </c>
      <c r="F194">
        <v>3</v>
      </c>
      <c r="G194">
        <v>2420</v>
      </c>
    </row>
    <row r="195" spans="1:7" x14ac:dyDescent="0.25">
      <c r="A195">
        <v>61</v>
      </c>
      <c r="B195" t="s">
        <v>67</v>
      </c>
      <c r="C195">
        <v>7</v>
      </c>
      <c r="D195">
        <v>5</v>
      </c>
      <c r="E195">
        <v>2</v>
      </c>
      <c r="F195">
        <v>3</v>
      </c>
      <c r="G195">
        <v>2316</v>
      </c>
    </row>
    <row r="196" spans="1:7" x14ac:dyDescent="0.25">
      <c r="A196">
        <v>104</v>
      </c>
      <c r="B196" t="s">
        <v>110</v>
      </c>
      <c r="C196">
        <v>11</v>
      </c>
      <c r="D196">
        <v>5</v>
      </c>
      <c r="E196">
        <v>2</v>
      </c>
      <c r="F196">
        <v>3</v>
      </c>
      <c r="G196">
        <v>1134</v>
      </c>
    </row>
    <row r="197" spans="1:7" x14ac:dyDescent="0.25">
      <c r="A197">
        <v>126</v>
      </c>
      <c r="B197" t="s">
        <v>132</v>
      </c>
      <c r="C197">
        <v>7</v>
      </c>
      <c r="D197">
        <v>5</v>
      </c>
      <c r="E197">
        <v>2</v>
      </c>
      <c r="F197">
        <v>3</v>
      </c>
      <c r="G197">
        <v>2455</v>
      </c>
    </row>
    <row r="198" spans="1:7" x14ac:dyDescent="0.25">
      <c r="A198">
        <v>148</v>
      </c>
      <c r="B198" t="s">
        <v>154</v>
      </c>
      <c r="C198">
        <v>8</v>
      </c>
      <c r="D198">
        <v>5</v>
      </c>
      <c r="E198">
        <v>2</v>
      </c>
      <c r="F198">
        <v>3</v>
      </c>
      <c r="G198">
        <v>0</v>
      </c>
    </row>
    <row r="199" spans="1:7" x14ac:dyDescent="0.25">
      <c r="A199">
        <v>209</v>
      </c>
      <c r="B199" t="s">
        <v>215</v>
      </c>
      <c r="C199">
        <v>6</v>
      </c>
      <c r="D199">
        <v>5</v>
      </c>
      <c r="E199">
        <v>2</v>
      </c>
      <c r="F199">
        <v>3</v>
      </c>
      <c r="G199">
        <v>919</v>
      </c>
    </row>
    <row r="200" spans="1:7" x14ac:dyDescent="0.25">
      <c r="A200">
        <v>340</v>
      </c>
      <c r="B200" t="s">
        <v>346</v>
      </c>
      <c r="C200">
        <v>18</v>
      </c>
      <c r="D200">
        <v>5</v>
      </c>
      <c r="E200">
        <v>2</v>
      </c>
      <c r="F200">
        <v>3</v>
      </c>
      <c r="G200">
        <v>1679</v>
      </c>
    </row>
    <row r="201" spans="1:7" x14ac:dyDescent="0.25">
      <c r="A201">
        <v>354</v>
      </c>
      <c r="B201" t="s">
        <v>360</v>
      </c>
      <c r="C201">
        <v>11</v>
      </c>
      <c r="D201">
        <v>5</v>
      </c>
      <c r="E201">
        <v>2</v>
      </c>
      <c r="F201">
        <v>3</v>
      </c>
      <c r="G201">
        <v>524</v>
      </c>
    </row>
    <row r="202" spans="1:7" x14ac:dyDescent="0.25">
      <c r="A202">
        <v>100</v>
      </c>
      <c r="B202" t="s">
        <v>106</v>
      </c>
      <c r="C202">
        <v>13</v>
      </c>
      <c r="D202">
        <v>6</v>
      </c>
      <c r="E202">
        <v>3</v>
      </c>
      <c r="F202">
        <v>3</v>
      </c>
      <c r="G202">
        <v>3575</v>
      </c>
    </row>
    <row r="203" spans="1:7" x14ac:dyDescent="0.25">
      <c r="A203">
        <v>81</v>
      </c>
      <c r="B203" t="s">
        <v>87</v>
      </c>
      <c r="C203">
        <v>8</v>
      </c>
      <c r="D203">
        <v>7</v>
      </c>
      <c r="E203">
        <v>4</v>
      </c>
      <c r="F203">
        <v>3</v>
      </c>
      <c r="G203">
        <v>9</v>
      </c>
    </row>
    <row r="204" spans="1:7" x14ac:dyDescent="0.25">
      <c r="A204">
        <v>256</v>
      </c>
      <c r="B204" t="s">
        <v>262</v>
      </c>
      <c r="C204">
        <v>8</v>
      </c>
      <c r="D204">
        <v>7</v>
      </c>
      <c r="E204">
        <v>4</v>
      </c>
      <c r="F204">
        <v>3</v>
      </c>
      <c r="G204">
        <v>2303</v>
      </c>
    </row>
    <row r="205" spans="1:7" x14ac:dyDescent="0.25">
      <c r="A205">
        <v>9</v>
      </c>
      <c r="B205" t="s">
        <v>15</v>
      </c>
      <c r="C205">
        <v>9</v>
      </c>
      <c r="D205">
        <v>8</v>
      </c>
      <c r="E205">
        <v>5</v>
      </c>
      <c r="F205">
        <v>3</v>
      </c>
      <c r="G205">
        <v>2632</v>
      </c>
    </row>
    <row r="206" spans="1:7" x14ac:dyDescent="0.25">
      <c r="A206">
        <v>49</v>
      </c>
      <c r="B206" t="s">
        <v>55</v>
      </c>
      <c r="C206">
        <v>13</v>
      </c>
      <c r="D206">
        <v>4</v>
      </c>
      <c r="E206">
        <v>0</v>
      </c>
      <c r="F206">
        <v>4</v>
      </c>
      <c r="G206">
        <v>0</v>
      </c>
    </row>
    <row r="207" spans="1:7" x14ac:dyDescent="0.25">
      <c r="A207">
        <v>93</v>
      </c>
      <c r="B207" t="s">
        <v>99</v>
      </c>
      <c r="C207">
        <v>8</v>
      </c>
      <c r="D207">
        <v>4</v>
      </c>
      <c r="E207">
        <v>0</v>
      </c>
      <c r="F207">
        <v>4</v>
      </c>
      <c r="G207">
        <v>18</v>
      </c>
    </row>
    <row r="208" spans="1:7" x14ac:dyDescent="0.25">
      <c r="A208">
        <v>112</v>
      </c>
      <c r="B208" t="s">
        <v>118</v>
      </c>
      <c r="C208">
        <v>5</v>
      </c>
      <c r="D208">
        <v>4</v>
      </c>
      <c r="E208">
        <v>0</v>
      </c>
      <c r="F208">
        <v>4</v>
      </c>
      <c r="G208">
        <v>2</v>
      </c>
    </row>
    <row r="209" spans="1:7" x14ac:dyDescent="0.25">
      <c r="A209">
        <v>116</v>
      </c>
      <c r="B209" t="s">
        <v>122</v>
      </c>
      <c r="C209">
        <v>12</v>
      </c>
      <c r="D209">
        <v>4</v>
      </c>
      <c r="E209">
        <v>0</v>
      </c>
      <c r="F209">
        <v>4</v>
      </c>
      <c r="G209">
        <v>0</v>
      </c>
    </row>
    <row r="210" spans="1:7" x14ac:dyDescent="0.25">
      <c r="A210">
        <v>137</v>
      </c>
      <c r="B210" t="s">
        <v>143</v>
      </c>
      <c r="C210">
        <v>5</v>
      </c>
      <c r="D210">
        <v>4</v>
      </c>
      <c r="E210">
        <v>0</v>
      </c>
      <c r="F210">
        <v>4</v>
      </c>
      <c r="G210">
        <v>0</v>
      </c>
    </row>
    <row r="211" spans="1:7" x14ac:dyDescent="0.25">
      <c r="A211">
        <v>149</v>
      </c>
      <c r="B211" t="s">
        <v>155</v>
      </c>
      <c r="C211">
        <v>10</v>
      </c>
      <c r="D211">
        <v>4</v>
      </c>
      <c r="E211">
        <v>0</v>
      </c>
      <c r="F211">
        <v>4</v>
      </c>
      <c r="G211">
        <v>1</v>
      </c>
    </row>
    <row r="212" spans="1:7" x14ac:dyDescent="0.25">
      <c r="A212">
        <v>173</v>
      </c>
      <c r="B212" t="s">
        <v>179</v>
      </c>
      <c r="C212">
        <v>8</v>
      </c>
      <c r="D212">
        <v>4</v>
      </c>
      <c r="E212">
        <v>0</v>
      </c>
      <c r="F212">
        <v>4</v>
      </c>
      <c r="G212">
        <v>0</v>
      </c>
    </row>
    <row r="213" spans="1:7" x14ac:dyDescent="0.25">
      <c r="A213">
        <v>221</v>
      </c>
      <c r="B213" t="s">
        <v>227</v>
      </c>
      <c r="C213">
        <v>5</v>
      </c>
      <c r="D213">
        <v>4</v>
      </c>
      <c r="E213">
        <v>0</v>
      </c>
      <c r="F213">
        <v>4</v>
      </c>
      <c r="G213">
        <v>2301</v>
      </c>
    </row>
    <row r="214" spans="1:7" x14ac:dyDescent="0.25">
      <c r="A214">
        <v>227</v>
      </c>
      <c r="B214" t="s">
        <v>233</v>
      </c>
      <c r="C214">
        <v>7</v>
      </c>
      <c r="D214">
        <v>4</v>
      </c>
      <c r="E214">
        <v>0</v>
      </c>
      <c r="F214">
        <v>4</v>
      </c>
      <c r="G214">
        <v>449</v>
      </c>
    </row>
    <row r="215" spans="1:7" x14ac:dyDescent="0.25">
      <c r="A215">
        <v>236</v>
      </c>
      <c r="B215" t="s">
        <v>242</v>
      </c>
      <c r="C215">
        <v>5</v>
      </c>
      <c r="D215">
        <v>4</v>
      </c>
      <c r="E215">
        <v>0</v>
      </c>
      <c r="F215">
        <v>4</v>
      </c>
      <c r="G215">
        <v>0</v>
      </c>
    </row>
    <row r="216" spans="1:7" x14ac:dyDescent="0.25">
      <c r="A216">
        <v>246</v>
      </c>
      <c r="B216" t="s">
        <v>252</v>
      </c>
      <c r="C216">
        <v>7</v>
      </c>
      <c r="D216">
        <v>4</v>
      </c>
      <c r="E216">
        <v>0</v>
      </c>
      <c r="F216">
        <v>4</v>
      </c>
      <c r="G216">
        <v>1024</v>
      </c>
    </row>
    <row r="217" spans="1:7" x14ac:dyDescent="0.25">
      <c r="A217">
        <v>275</v>
      </c>
      <c r="B217" t="s">
        <v>281</v>
      </c>
      <c r="C217">
        <v>5</v>
      </c>
      <c r="D217">
        <v>4</v>
      </c>
      <c r="E217">
        <v>0</v>
      </c>
      <c r="F217">
        <v>4</v>
      </c>
      <c r="G217">
        <v>987</v>
      </c>
    </row>
    <row r="218" spans="1:7" x14ac:dyDescent="0.25">
      <c r="A218">
        <v>280</v>
      </c>
      <c r="B218" t="s">
        <v>286</v>
      </c>
      <c r="C218">
        <v>5</v>
      </c>
      <c r="D218">
        <v>4</v>
      </c>
      <c r="E218">
        <v>0</v>
      </c>
      <c r="F218">
        <v>4</v>
      </c>
      <c r="G218">
        <v>370</v>
      </c>
    </row>
    <row r="219" spans="1:7" x14ac:dyDescent="0.25">
      <c r="A219">
        <v>282</v>
      </c>
      <c r="B219" t="s">
        <v>288</v>
      </c>
      <c r="C219">
        <v>5</v>
      </c>
      <c r="D219">
        <v>4</v>
      </c>
      <c r="E219">
        <v>0</v>
      </c>
      <c r="F219">
        <v>4</v>
      </c>
      <c r="G219">
        <v>1418</v>
      </c>
    </row>
    <row r="220" spans="1:7" x14ac:dyDescent="0.25">
      <c r="A220">
        <v>319</v>
      </c>
      <c r="B220" t="s">
        <v>325</v>
      </c>
      <c r="C220">
        <v>5</v>
      </c>
      <c r="D220">
        <v>4</v>
      </c>
      <c r="E220">
        <v>0</v>
      </c>
      <c r="F220">
        <v>4</v>
      </c>
      <c r="G220">
        <v>0</v>
      </c>
    </row>
    <row r="221" spans="1:7" x14ac:dyDescent="0.25">
      <c r="A221">
        <v>320</v>
      </c>
      <c r="B221" t="s">
        <v>326</v>
      </c>
      <c r="C221">
        <v>5</v>
      </c>
      <c r="D221">
        <v>4</v>
      </c>
      <c r="E221">
        <v>0</v>
      </c>
      <c r="F221">
        <v>4</v>
      </c>
      <c r="G221">
        <v>0</v>
      </c>
    </row>
    <row r="222" spans="1:7" x14ac:dyDescent="0.25">
      <c r="A222">
        <v>324</v>
      </c>
      <c r="B222" t="s">
        <v>330</v>
      </c>
      <c r="C222">
        <v>10</v>
      </c>
      <c r="D222">
        <v>4</v>
      </c>
      <c r="E222">
        <v>0</v>
      </c>
      <c r="F222">
        <v>4</v>
      </c>
      <c r="G222">
        <v>2320</v>
      </c>
    </row>
    <row r="223" spans="1:7" x14ac:dyDescent="0.25">
      <c r="A223">
        <v>337</v>
      </c>
      <c r="B223" t="s">
        <v>343</v>
      </c>
      <c r="C223">
        <v>7</v>
      </c>
      <c r="D223">
        <v>4</v>
      </c>
      <c r="E223">
        <v>0</v>
      </c>
      <c r="F223">
        <v>4</v>
      </c>
      <c r="G223">
        <v>0</v>
      </c>
    </row>
    <row r="224" spans="1:7" x14ac:dyDescent="0.25">
      <c r="A224">
        <v>350</v>
      </c>
      <c r="B224" t="s">
        <v>356</v>
      </c>
      <c r="C224">
        <v>5</v>
      </c>
      <c r="D224">
        <v>4</v>
      </c>
      <c r="E224">
        <v>0</v>
      </c>
      <c r="F224">
        <v>4</v>
      </c>
      <c r="G224">
        <v>0</v>
      </c>
    </row>
    <row r="225" spans="1:7" x14ac:dyDescent="0.25">
      <c r="A225">
        <v>373</v>
      </c>
      <c r="B225" t="s">
        <v>379</v>
      </c>
      <c r="C225">
        <v>22</v>
      </c>
      <c r="D225">
        <v>4</v>
      </c>
      <c r="E225">
        <v>0</v>
      </c>
      <c r="F225">
        <v>4</v>
      </c>
      <c r="G225">
        <v>1066</v>
      </c>
    </row>
    <row r="226" spans="1:7" x14ac:dyDescent="0.25">
      <c r="A226">
        <v>408</v>
      </c>
      <c r="B226" t="s">
        <v>414</v>
      </c>
      <c r="C226">
        <v>6</v>
      </c>
      <c r="D226">
        <v>4</v>
      </c>
      <c r="E226">
        <v>0</v>
      </c>
      <c r="F226">
        <v>4</v>
      </c>
      <c r="G226">
        <v>5</v>
      </c>
    </row>
    <row r="227" spans="1:7" x14ac:dyDescent="0.25">
      <c r="A227">
        <v>411</v>
      </c>
      <c r="B227" t="s">
        <v>417</v>
      </c>
      <c r="C227">
        <v>13</v>
      </c>
      <c r="D227">
        <v>4</v>
      </c>
      <c r="E227">
        <v>0</v>
      </c>
      <c r="F227">
        <v>4</v>
      </c>
      <c r="G227">
        <v>5</v>
      </c>
    </row>
    <row r="228" spans="1:7" x14ac:dyDescent="0.25">
      <c r="A228">
        <v>29</v>
      </c>
      <c r="B228" t="s">
        <v>35</v>
      </c>
      <c r="C228">
        <v>13</v>
      </c>
      <c r="D228">
        <v>5</v>
      </c>
      <c r="E228">
        <v>1</v>
      </c>
      <c r="F228">
        <v>4</v>
      </c>
      <c r="G228">
        <v>241</v>
      </c>
    </row>
    <row r="229" spans="1:7" x14ac:dyDescent="0.25">
      <c r="A229">
        <v>77</v>
      </c>
      <c r="B229" t="s">
        <v>83</v>
      </c>
      <c r="C229">
        <v>7</v>
      </c>
      <c r="D229">
        <v>5</v>
      </c>
      <c r="E229">
        <v>1</v>
      </c>
      <c r="F229">
        <v>4</v>
      </c>
      <c r="G229">
        <v>37</v>
      </c>
    </row>
    <row r="230" spans="1:7" x14ac:dyDescent="0.25">
      <c r="A230">
        <v>85</v>
      </c>
      <c r="B230" t="s">
        <v>91</v>
      </c>
      <c r="C230">
        <v>7</v>
      </c>
      <c r="D230">
        <v>5</v>
      </c>
      <c r="E230">
        <v>1</v>
      </c>
      <c r="F230">
        <v>4</v>
      </c>
      <c r="G230">
        <v>3959</v>
      </c>
    </row>
    <row r="231" spans="1:7" x14ac:dyDescent="0.25">
      <c r="A231">
        <v>97</v>
      </c>
      <c r="B231" t="s">
        <v>103</v>
      </c>
      <c r="C231">
        <v>22</v>
      </c>
      <c r="D231">
        <v>5</v>
      </c>
      <c r="E231">
        <v>1</v>
      </c>
      <c r="F231">
        <v>4</v>
      </c>
      <c r="G231">
        <v>2111</v>
      </c>
    </row>
    <row r="232" spans="1:7" x14ac:dyDescent="0.25">
      <c r="A232">
        <v>200</v>
      </c>
      <c r="B232" t="s">
        <v>206</v>
      </c>
      <c r="C232">
        <v>10</v>
      </c>
      <c r="D232">
        <v>5</v>
      </c>
      <c r="E232">
        <v>1</v>
      </c>
      <c r="F232">
        <v>4</v>
      </c>
      <c r="G232">
        <v>237</v>
      </c>
    </row>
    <row r="233" spans="1:7" x14ac:dyDescent="0.25">
      <c r="A233">
        <v>218</v>
      </c>
      <c r="B233" t="s">
        <v>224</v>
      </c>
      <c r="C233">
        <v>10</v>
      </c>
      <c r="D233">
        <v>5</v>
      </c>
      <c r="E233">
        <v>1</v>
      </c>
      <c r="F233">
        <v>4</v>
      </c>
      <c r="G233">
        <v>761</v>
      </c>
    </row>
    <row r="234" spans="1:7" x14ac:dyDescent="0.25">
      <c r="A234">
        <v>251</v>
      </c>
      <c r="B234" t="s">
        <v>257</v>
      </c>
      <c r="C234">
        <v>11</v>
      </c>
      <c r="D234">
        <v>5</v>
      </c>
      <c r="E234">
        <v>1</v>
      </c>
      <c r="F234">
        <v>4</v>
      </c>
      <c r="G234">
        <v>973</v>
      </c>
    </row>
    <row r="235" spans="1:7" x14ac:dyDescent="0.25">
      <c r="A235">
        <v>284</v>
      </c>
      <c r="B235" t="s">
        <v>290</v>
      </c>
      <c r="C235">
        <v>9</v>
      </c>
      <c r="D235">
        <v>5</v>
      </c>
      <c r="E235">
        <v>1</v>
      </c>
      <c r="F235">
        <v>4</v>
      </c>
      <c r="G235">
        <v>516</v>
      </c>
    </row>
    <row r="236" spans="1:7" x14ac:dyDescent="0.25">
      <c r="A236">
        <v>293</v>
      </c>
      <c r="B236" t="s">
        <v>299</v>
      </c>
      <c r="C236">
        <v>11</v>
      </c>
      <c r="D236">
        <v>5</v>
      </c>
      <c r="E236">
        <v>1</v>
      </c>
      <c r="F236">
        <v>4</v>
      </c>
      <c r="G236">
        <v>1535</v>
      </c>
    </row>
    <row r="237" spans="1:7" x14ac:dyDescent="0.25">
      <c r="A237">
        <v>403</v>
      </c>
      <c r="B237" t="s">
        <v>409</v>
      </c>
      <c r="C237">
        <v>6</v>
      </c>
      <c r="D237">
        <v>5</v>
      </c>
      <c r="E237">
        <v>1</v>
      </c>
      <c r="F237">
        <v>4</v>
      </c>
      <c r="G237">
        <v>1000</v>
      </c>
    </row>
    <row r="238" spans="1:7" x14ac:dyDescent="0.25">
      <c r="A238">
        <v>6</v>
      </c>
      <c r="B238" t="s">
        <v>12</v>
      </c>
      <c r="C238">
        <v>9</v>
      </c>
      <c r="D238">
        <v>6</v>
      </c>
      <c r="E238">
        <v>2</v>
      </c>
      <c r="F238">
        <v>4</v>
      </c>
      <c r="G238">
        <v>2866</v>
      </c>
    </row>
    <row r="239" spans="1:7" x14ac:dyDescent="0.25">
      <c r="A239">
        <v>50</v>
      </c>
      <c r="B239" t="s">
        <v>56</v>
      </c>
      <c r="C239">
        <v>8</v>
      </c>
      <c r="D239">
        <v>6</v>
      </c>
      <c r="E239">
        <v>2</v>
      </c>
      <c r="F239">
        <v>4</v>
      </c>
      <c r="G239">
        <v>0</v>
      </c>
    </row>
    <row r="240" spans="1:7" x14ac:dyDescent="0.25">
      <c r="A240">
        <v>155</v>
      </c>
      <c r="B240" t="s">
        <v>161</v>
      </c>
      <c r="C240">
        <v>10</v>
      </c>
      <c r="D240">
        <v>6</v>
      </c>
      <c r="E240">
        <v>2</v>
      </c>
      <c r="F240">
        <v>4</v>
      </c>
      <c r="G240">
        <v>2599</v>
      </c>
    </row>
    <row r="241" spans="1:7" x14ac:dyDescent="0.25">
      <c r="A241">
        <v>158</v>
      </c>
      <c r="B241" t="s">
        <v>164</v>
      </c>
      <c r="C241">
        <v>7</v>
      </c>
      <c r="D241">
        <v>6</v>
      </c>
      <c r="E241">
        <v>2</v>
      </c>
      <c r="F241">
        <v>4</v>
      </c>
      <c r="G241">
        <v>2391</v>
      </c>
    </row>
    <row r="242" spans="1:7" x14ac:dyDescent="0.25">
      <c r="A242">
        <v>203</v>
      </c>
      <c r="B242" t="s">
        <v>209</v>
      </c>
      <c r="C242">
        <v>8</v>
      </c>
      <c r="D242">
        <v>6</v>
      </c>
      <c r="E242">
        <v>2</v>
      </c>
      <c r="F242">
        <v>4</v>
      </c>
      <c r="G242">
        <v>0</v>
      </c>
    </row>
    <row r="243" spans="1:7" x14ac:dyDescent="0.25">
      <c r="A243">
        <v>228</v>
      </c>
      <c r="B243" t="s">
        <v>234</v>
      </c>
      <c r="C243">
        <v>7</v>
      </c>
      <c r="D243">
        <v>6</v>
      </c>
      <c r="E243">
        <v>2</v>
      </c>
      <c r="F243">
        <v>4</v>
      </c>
      <c r="G243">
        <v>3034</v>
      </c>
    </row>
    <row r="244" spans="1:7" x14ac:dyDescent="0.25">
      <c r="A244">
        <v>7</v>
      </c>
      <c r="B244" t="s">
        <v>13</v>
      </c>
      <c r="C244">
        <v>10</v>
      </c>
      <c r="D244">
        <v>7</v>
      </c>
      <c r="E244">
        <v>3</v>
      </c>
      <c r="F244">
        <v>4</v>
      </c>
      <c r="G244">
        <v>2932</v>
      </c>
    </row>
    <row r="245" spans="1:7" x14ac:dyDescent="0.25">
      <c r="A245">
        <v>238</v>
      </c>
      <c r="B245" t="s">
        <v>244</v>
      </c>
      <c r="C245">
        <v>8</v>
      </c>
      <c r="D245">
        <v>7</v>
      </c>
      <c r="E245">
        <v>3</v>
      </c>
      <c r="F245">
        <v>4</v>
      </c>
      <c r="G245">
        <v>1137</v>
      </c>
    </row>
    <row r="246" spans="1:7" x14ac:dyDescent="0.25">
      <c r="A246">
        <v>252</v>
      </c>
      <c r="B246" t="s">
        <v>258</v>
      </c>
      <c r="C246">
        <v>21</v>
      </c>
      <c r="D246">
        <v>7</v>
      </c>
      <c r="E246">
        <v>3</v>
      </c>
      <c r="F246">
        <v>4</v>
      </c>
      <c r="G246">
        <v>2759</v>
      </c>
    </row>
    <row r="247" spans="1:7" x14ac:dyDescent="0.25">
      <c r="A247">
        <v>278</v>
      </c>
      <c r="B247" t="s">
        <v>284</v>
      </c>
      <c r="C247">
        <v>17</v>
      </c>
      <c r="D247">
        <v>7</v>
      </c>
      <c r="E247">
        <v>3</v>
      </c>
      <c r="F247">
        <v>4</v>
      </c>
      <c r="G247">
        <v>1958</v>
      </c>
    </row>
    <row r="248" spans="1:7" x14ac:dyDescent="0.25">
      <c r="A248">
        <v>24</v>
      </c>
      <c r="B248" t="s">
        <v>30</v>
      </c>
      <c r="C248">
        <v>10</v>
      </c>
      <c r="D248">
        <v>8</v>
      </c>
      <c r="E248">
        <v>4</v>
      </c>
      <c r="F248">
        <v>4</v>
      </c>
      <c r="G248">
        <v>2330</v>
      </c>
    </row>
    <row r="249" spans="1:7" x14ac:dyDescent="0.25">
      <c r="A249">
        <v>43</v>
      </c>
      <c r="B249" t="s">
        <v>49</v>
      </c>
      <c r="C249">
        <v>10</v>
      </c>
      <c r="D249">
        <v>9</v>
      </c>
      <c r="E249">
        <v>5</v>
      </c>
      <c r="F249">
        <v>4</v>
      </c>
      <c r="G249">
        <v>3282</v>
      </c>
    </row>
    <row r="250" spans="1:7" x14ac:dyDescent="0.25">
      <c r="A250">
        <v>123</v>
      </c>
      <c r="B250" t="s">
        <v>129</v>
      </c>
      <c r="C250">
        <v>11</v>
      </c>
      <c r="D250">
        <v>10</v>
      </c>
      <c r="E250">
        <v>6</v>
      </c>
      <c r="F250">
        <v>4</v>
      </c>
      <c r="G250">
        <v>2842</v>
      </c>
    </row>
    <row r="251" spans="1:7" x14ac:dyDescent="0.25">
      <c r="A251">
        <v>195</v>
      </c>
      <c r="B251" t="s">
        <v>201</v>
      </c>
      <c r="C251">
        <v>13</v>
      </c>
      <c r="D251">
        <v>10</v>
      </c>
      <c r="E251">
        <v>6</v>
      </c>
      <c r="F251">
        <v>4</v>
      </c>
      <c r="G251">
        <v>1584</v>
      </c>
    </row>
    <row r="252" spans="1:7" x14ac:dyDescent="0.25">
      <c r="A252">
        <v>98</v>
      </c>
      <c r="B252" t="s">
        <v>104</v>
      </c>
      <c r="C252">
        <v>12</v>
      </c>
      <c r="D252">
        <v>11</v>
      </c>
      <c r="E252">
        <v>7</v>
      </c>
      <c r="F252">
        <v>4</v>
      </c>
      <c r="G252">
        <v>3374</v>
      </c>
    </row>
    <row r="253" spans="1:7" x14ac:dyDescent="0.25">
      <c r="A253">
        <v>90</v>
      </c>
      <c r="B253" t="s">
        <v>96</v>
      </c>
      <c r="C253">
        <v>11</v>
      </c>
      <c r="D253">
        <v>5</v>
      </c>
      <c r="E253">
        <v>0</v>
      </c>
      <c r="F253">
        <v>5</v>
      </c>
      <c r="G253">
        <v>3</v>
      </c>
    </row>
    <row r="254" spans="1:7" x14ac:dyDescent="0.25">
      <c r="A254">
        <v>132</v>
      </c>
      <c r="B254" t="s">
        <v>138</v>
      </c>
      <c r="C254">
        <v>6</v>
      </c>
      <c r="D254">
        <v>5</v>
      </c>
      <c r="E254">
        <v>0</v>
      </c>
      <c r="F254">
        <v>5</v>
      </c>
      <c r="G254">
        <v>0</v>
      </c>
    </row>
    <row r="255" spans="1:7" x14ac:dyDescent="0.25">
      <c r="A255">
        <v>154</v>
      </c>
      <c r="B255" t="s">
        <v>160</v>
      </c>
      <c r="C255">
        <v>6</v>
      </c>
      <c r="D255">
        <v>5</v>
      </c>
      <c r="E255">
        <v>0</v>
      </c>
      <c r="F255">
        <v>5</v>
      </c>
      <c r="G255">
        <v>1981</v>
      </c>
    </row>
    <row r="256" spans="1:7" x14ac:dyDescent="0.25">
      <c r="A256">
        <v>186</v>
      </c>
      <c r="B256" t="s">
        <v>192</v>
      </c>
      <c r="C256">
        <v>11</v>
      </c>
      <c r="D256">
        <v>5</v>
      </c>
      <c r="E256">
        <v>0</v>
      </c>
      <c r="F256">
        <v>5</v>
      </c>
      <c r="G256">
        <v>2255</v>
      </c>
    </row>
    <row r="257" spans="1:7" x14ac:dyDescent="0.25">
      <c r="A257">
        <v>219</v>
      </c>
      <c r="B257" t="s">
        <v>225</v>
      </c>
      <c r="C257">
        <v>16</v>
      </c>
      <c r="D257">
        <v>5</v>
      </c>
      <c r="E257">
        <v>0</v>
      </c>
      <c r="F257">
        <v>5</v>
      </c>
      <c r="G257">
        <v>0</v>
      </c>
    </row>
    <row r="258" spans="1:7" x14ac:dyDescent="0.25">
      <c r="A258">
        <v>222</v>
      </c>
      <c r="B258" t="s">
        <v>228</v>
      </c>
      <c r="C258">
        <v>16</v>
      </c>
      <c r="D258">
        <v>5</v>
      </c>
      <c r="E258">
        <v>0</v>
      </c>
      <c r="F258">
        <v>5</v>
      </c>
      <c r="G258">
        <v>0</v>
      </c>
    </row>
    <row r="259" spans="1:7" x14ac:dyDescent="0.25">
      <c r="A259">
        <v>254</v>
      </c>
      <c r="B259" t="s">
        <v>260</v>
      </c>
      <c r="C259">
        <v>8</v>
      </c>
      <c r="D259">
        <v>5</v>
      </c>
      <c r="E259">
        <v>0</v>
      </c>
      <c r="F259">
        <v>5</v>
      </c>
      <c r="G259">
        <v>18</v>
      </c>
    </row>
    <row r="260" spans="1:7" x14ac:dyDescent="0.25">
      <c r="A260">
        <v>257</v>
      </c>
      <c r="B260" t="s">
        <v>263</v>
      </c>
      <c r="C260">
        <v>11</v>
      </c>
      <c r="D260">
        <v>5</v>
      </c>
      <c r="E260">
        <v>0</v>
      </c>
      <c r="F260">
        <v>5</v>
      </c>
      <c r="G260">
        <v>1946</v>
      </c>
    </row>
    <row r="261" spans="1:7" x14ac:dyDescent="0.25">
      <c r="A261">
        <v>259</v>
      </c>
      <c r="B261" t="s">
        <v>265</v>
      </c>
      <c r="C261">
        <v>10</v>
      </c>
      <c r="D261">
        <v>5</v>
      </c>
      <c r="E261">
        <v>0</v>
      </c>
      <c r="F261">
        <v>5</v>
      </c>
      <c r="G261">
        <v>2070</v>
      </c>
    </row>
    <row r="262" spans="1:7" x14ac:dyDescent="0.25">
      <c r="A262">
        <v>274</v>
      </c>
      <c r="B262" t="s">
        <v>280</v>
      </c>
      <c r="C262">
        <v>6</v>
      </c>
      <c r="D262">
        <v>5</v>
      </c>
      <c r="E262">
        <v>0</v>
      </c>
      <c r="F262">
        <v>5</v>
      </c>
      <c r="G262">
        <v>918</v>
      </c>
    </row>
    <row r="263" spans="1:7" x14ac:dyDescent="0.25">
      <c r="A263">
        <v>291</v>
      </c>
      <c r="B263" t="s">
        <v>297</v>
      </c>
      <c r="C263">
        <v>6</v>
      </c>
      <c r="D263">
        <v>5</v>
      </c>
      <c r="E263">
        <v>0</v>
      </c>
      <c r="F263">
        <v>5</v>
      </c>
      <c r="G263">
        <v>0</v>
      </c>
    </row>
    <row r="264" spans="1:7" x14ac:dyDescent="0.25">
      <c r="A264">
        <v>297</v>
      </c>
      <c r="B264" t="s">
        <v>303</v>
      </c>
      <c r="C264">
        <v>6</v>
      </c>
      <c r="D264">
        <v>5</v>
      </c>
      <c r="E264">
        <v>0</v>
      </c>
      <c r="F264">
        <v>5</v>
      </c>
      <c r="G264">
        <v>0</v>
      </c>
    </row>
    <row r="265" spans="1:7" x14ac:dyDescent="0.25">
      <c r="A265">
        <v>311</v>
      </c>
      <c r="B265" t="s">
        <v>317</v>
      </c>
      <c r="C265">
        <v>11</v>
      </c>
      <c r="D265">
        <v>5</v>
      </c>
      <c r="E265">
        <v>0</v>
      </c>
      <c r="F265">
        <v>5</v>
      </c>
      <c r="G265">
        <v>0</v>
      </c>
    </row>
    <row r="266" spans="1:7" x14ac:dyDescent="0.25">
      <c r="A266">
        <v>315</v>
      </c>
      <c r="B266" t="s">
        <v>321</v>
      </c>
      <c r="C266">
        <v>6</v>
      </c>
      <c r="D266">
        <v>5</v>
      </c>
      <c r="E266">
        <v>0</v>
      </c>
      <c r="F266">
        <v>5</v>
      </c>
      <c r="G266">
        <v>7</v>
      </c>
    </row>
    <row r="267" spans="1:7" x14ac:dyDescent="0.25">
      <c r="A267">
        <v>332</v>
      </c>
      <c r="B267" t="s">
        <v>338</v>
      </c>
      <c r="C267">
        <v>6</v>
      </c>
      <c r="D267">
        <v>5</v>
      </c>
      <c r="E267">
        <v>0</v>
      </c>
      <c r="F267">
        <v>5</v>
      </c>
      <c r="G267">
        <v>0</v>
      </c>
    </row>
    <row r="268" spans="1:7" x14ac:dyDescent="0.25">
      <c r="A268">
        <v>335</v>
      </c>
      <c r="B268" t="s">
        <v>341</v>
      </c>
      <c r="C268">
        <v>11</v>
      </c>
      <c r="D268">
        <v>5</v>
      </c>
      <c r="E268">
        <v>0</v>
      </c>
      <c r="F268">
        <v>5</v>
      </c>
      <c r="G268">
        <v>4</v>
      </c>
    </row>
    <row r="269" spans="1:7" x14ac:dyDescent="0.25">
      <c r="A269">
        <v>348</v>
      </c>
      <c r="B269" t="s">
        <v>354</v>
      </c>
      <c r="C269">
        <v>8</v>
      </c>
      <c r="D269">
        <v>5</v>
      </c>
      <c r="E269">
        <v>0</v>
      </c>
      <c r="F269">
        <v>5</v>
      </c>
      <c r="G269">
        <v>133</v>
      </c>
    </row>
    <row r="270" spans="1:7" x14ac:dyDescent="0.25">
      <c r="A270">
        <v>377</v>
      </c>
      <c r="B270" t="s">
        <v>383</v>
      </c>
      <c r="C270">
        <v>8</v>
      </c>
      <c r="D270">
        <v>5</v>
      </c>
      <c r="E270">
        <v>0</v>
      </c>
      <c r="F270">
        <v>5</v>
      </c>
      <c r="G270">
        <v>0</v>
      </c>
    </row>
    <row r="271" spans="1:7" x14ac:dyDescent="0.25">
      <c r="A271">
        <v>380</v>
      </c>
      <c r="B271" t="s">
        <v>386</v>
      </c>
      <c r="C271">
        <v>7</v>
      </c>
      <c r="D271">
        <v>5</v>
      </c>
      <c r="E271">
        <v>0</v>
      </c>
      <c r="F271">
        <v>5</v>
      </c>
      <c r="G271">
        <v>645</v>
      </c>
    </row>
    <row r="272" spans="1:7" x14ac:dyDescent="0.25">
      <c r="A272">
        <v>386</v>
      </c>
      <c r="B272" t="s">
        <v>392</v>
      </c>
      <c r="C272">
        <v>10</v>
      </c>
      <c r="D272">
        <v>5</v>
      </c>
      <c r="E272">
        <v>0</v>
      </c>
      <c r="F272">
        <v>5</v>
      </c>
      <c r="G272">
        <v>8</v>
      </c>
    </row>
    <row r="273" spans="1:7" x14ac:dyDescent="0.25">
      <c r="A273">
        <v>398</v>
      </c>
      <c r="B273" t="s">
        <v>404</v>
      </c>
      <c r="C273">
        <v>10</v>
      </c>
      <c r="D273">
        <v>5</v>
      </c>
      <c r="E273">
        <v>0</v>
      </c>
      <c r="F273">
        <v>5</v>
      </c>
      <c r="G273">
        <v>1109</v>
      </c>
    </row>
    <row r="274" spans="1:7" x14ac:dyDescent="0.25">
      <c r="A274">
        <v>409</v>
      </c>
      <c r="B274" t="s">
        <v>415</v>
      </c>
      <c r="C274">
        <v>15</v>
      </c>
      <c r="D274">
        <v>5</v>
      </c>
      <c r="E274">
        <v>0</v>
      </c>
      <c r="F274">
        <v>5</v>
      </c>
      <c r="G274">
        <v>405</v>
      </c>
    </row>
    <row r="275" spans="1:7" x14ac:dyDescent="0.25">
      <c r="A275">
        <v>421</v>
      </c>
      <c r="B275" t="s">
        <v>427</v>
      </c>
      <c r="C275">
        <v>6</v>
      </c>
      <c r="D275">
        <v>5</v>
      </c>
      <c r="E275">
        <v>0</v>
      </c>
      <c r="F275">
        <v>5</v>
      </c>
      <c r="G275">
        <v>6</v>
      </c>
    </row>
    <row r="276" spans="1:7" x14ac:dyDescent="0.25">
      <c r="A276">
        <v>36</v>
      </c>
      <c r="B276" t="s">
        <v>42</v>
      </c>
      <c r="C276">
        <v>8</v>
      </c>
      <c r="D276">
        <v>6</v>
      </c>
      <c r="E276">
        <v>1</v>
      </c>
      <c r="F276">
        <v>5</v>
      </c>
      <c r="G276">
        <v>961</v>
      </c>
    </row>
    <row r="277" spans="1:7" x14ac:dyDescent="0.25">
      <c r="A277">
        <v>91</v>
      </c>
      <c r="B277" t="s">
        <v>97</v>
      </c>
      <c r="C277">
        <v>8</v>
      </c>
      <c r="D277">
        <v>6</v>
      </c>
      <c r="E277">
        <v>1</v>
      </c>
      <c r="F277">
        <v>5</v>
      </c>
      <c r="G277">
        <v>797</v>
      </c>
    </row>
    <row r="278" spans="1:7" x14ac:dyDescent="0.25">
      <c r="A278">
        <v>119</v>
      </c>
      <c r="B278" t="s">
        <v>125</v>
      </c>
      <c r="C278">
        <v>8</v>
      </c>
      <c r="D278">
        <v>6</v>
      </c>
      <c r="E278">
        <v>1</v>
      </c>
      <c r="F278">
        <v>5</v>
      </c>
      <c r="G278">
        <v>2634</v>
      </c>
    </row>
    <row r="279" spans="1:7" x14ac:dyDescent="0.25">
      <c r="A279">
        <v>129</v>
      </c>
      <c r="B279" t="s">
        <v>135</v>
      </c>
      <c r="C279">
        <v>8</v>
      </c>
      <c r="D279">
        <v>6</v>
      </c>
      <c r="E279">
        <v>1</v>
      </c>
      <c r="F279">
        <v>5</v>
      </c>
      <c r="G279">
        <v>0</v>
      </c>
    </row>
    <row r="280" spans="1:7" x14ac:dyDescent="0.25">
      <c r="A280">
        <v>133</v>
      </c>
      <c r="B280" t="s">
        <v>139</v>
      </c>
      <c r="C280">
        <v>7</v>
      </c>
      <c r="D280">
        <v>6</v>
      </c>
      <c r="E280">
        <v>1</v>
      </c>
      <c r="F280">
        <v>5</v>
      </c>
      <c r="G280">
        <v>257</v>
      </c>
    </row>
    <row r="281" spans="1:7" x14ac:dyDescent="0.25">
      <c r="A281">
        <v>152</v>
      </c>
      <c r="B281" t="s">
        <v>158</v>
      </c>
      <c r="C281">
        <v>19</v>
      </c>
      <c r="D281">
        <v>6</v>
      </c>
      <c r="E281">
        <v>1</v>
      </c>
      <c r="F281">
        <v>5</v>
      </c>
      <c r="G281">
        <v>3098</v>
      </c>
    </row>
    <row r="282" spans="1:7" x14ac:dyDescent="0.25">
      <c r="A282">
        <v>163</v>
      </c>
      <c r="B282" t="s">
        <v>169</v>
      </c>
      <c r="C282">
        <v>8</v>
      </c>
      <c r="D282">
        <v>6</v>
      </c>
      <c r="E282">
        <v>1</v>
      </c>
      <c r="F282">
        <v>5</v>
      </c>
      <c r="G282">
        <v>0</v>
      </c>
    </row>
    <row r="283" spans="1:7" x14ac:dyDescent="0.25">
      <c r="A283">
        <v>167</v>
      </c>
      <c r="B283" t="s">
        <v>173</v>
      </c>
      <c r="C283">
        <v>11</v>
      </c>
      <c r="D283">
        <v>6</v>
      </c>
      <c r="E283">
        <v>1</v>
      </c>
      <c r="F283">
        <v>5</v>
      </c>
      <c r="G283">
        <v>1019</v>
      </c>
    </row>
    <row r="284" spans="1:7" x14ac:dyDescent="0.25">
      <c r="A284">
        <v>199</v>
      </c>
      <c r="B284" t="s">
        <v>205</v>
      </c>
      <c r="C284">
        <v>13</v>
      </c>
      <c r="D284">
        <v>6</v>
      </c>
      <c r="E284">
        <v>1</v>
      </c>
      <c r="F284">
        <v>5</v>
      </c>
      <c r="G284">
        <v>0</v>
      </c>
    </row>
    <row r="285" spans="1:7" x14ac:dyDescent="0.25">
      <c r="A285">
        <v>247</v>
      </c>
      <c r="B285" t="s">
        <v>253</v>
      </c>
      <c r="C285">
        <v>10</v>
      </c>
      <c r="D285">
        <v>6</v>
      </c>
      <c r="E285">
        <v>1</v>
      </c>
      <c r="F285">
        <v>5</v>
      </c>
      <c r="G285">
        <v>986</v>
      </c>
    </row>
    <row r="286" spans="1:7" x14ac:dyDescent="0.25">
      <c r="A286">
        <v>267</v>
      </c>
      <c r="B286" t="s">
        <v>273</v>
      </c>
      <c r="C286">
        <v>14</v>
      </c>
      <c r="D286">
        <v>6</v>
      </c>
      <c r="E286">
        <v>1</v>
      </c>
      <c r="F286">
        <v>5</v>
      </c>
      <c r="G286">
        <v>4</v>
      </c>
    </row>
    <row r="287" spans="1:7" x14ac:dyDescent="0.25">
      <c r="A287">
        <v>268</v>
      </c>
      <c r="B287" t="s">
        <v>274</v>
      </c>
      <c r="C287">
        <v>8</v>
      </c>
      <c r="D287">
        <v>6</v>
      </c>
      <c r="E287">
        <v>1</v>
      </c>
      <c r="F287">
        <v>5</v>
      </c>
      <c r="G287">
        <v>2460</v>
      </c>
    </row>
    <row r="288" spans="1:7" x14ac:dyDescent="0.25">
      <c r="A288">
        <v>304</v>
      </c>
      <c r="B288" t="s">
        <v>310</v>
      </c>
      <c r="C288">
        <v>10</v>
      </c>
      <c r="D288">
        <v>6</v>
      </c>
      <c r="E288">
        <v>1</v>
      </c>
      <c r="F288">
        <v>5</v>
      </c>
      <c r="G288">
        <v>2292</v>
      </c>
    </row>
    <row r="289" spans="1:7" x14ac:dyDescent="0.25">
      <c r="A289">
        <v>331</v>
      </c>
      <c r="B289" t="s">
        <v>337</v>
      </c>
      <c r="C289">
        <v>7</v>
      </c>
      <c r="D289">
        <v>6</v>
      </c>
      <c r="E289">
        <v>1</v>
      </c>
      <c r="F289">
        <v>5</v>
      </c>
      <c r="G289">
        <v>0</v>
      </c>
    </row>
    <row r="290" spans="1:7" x14ac:dyDescent="0.25">
      <c r="A290">
        <v>413</v>
      </c>
      <c r="B290" t="s">
        <v>419</v>
      </c>
      <c r="C290">
        <v>18</v>
      </c>
      <c r="D290">
        <v>6</v>
      </c>
      <c r="E290">
        <v>1</v>
      </c>
      <c r="F290">
        <v>5</v>
      </c>
      <c r="G290">
        <v>6</v>
      </c>
    </row>
    <row r="291" spans="1:7" x14ac:dyDescent="0.25">
      <c r="A291">
        <v>26</v>
      </c>
      <c r="B291" t="s">
        <v>32</v>
      </c>
      <c r="C291">
        <v>9</v>
      </c>
      <c r="D291">
        <v>7</v>
      </c>
      <c r="E291">
        <v>2</v>
      </c>
      <c r="F291">
        <v>5</v>
      </c>
      <c r="G291">
        <v>1397</v>
      </c>
    </row>
    <row r="292" spans="1:7" x14ac:dyDescent="0.25">
      <c r="A292">
        <v>32</v>
      </c>
      <c r="B292" t="s">
        <v>38</v>
      </c>
      <c r="C292">
        <v>9</v>
      </c>
      <c r="D292">
        <v>7</v>
      </c>
      <c r="E292">
        <v>2</v>
      </c>
      <c r="F292">
        <v>5</v>
      </c>
      <c r="G292">
        <v>569</v>
      </c>
    </row>
    <row r="293" spans="1:7" x14ac:dyDescent="0.25">
      <c r="A293">
        <v>82</v>
      </c>
      <c r="B293" t="s">
        <v>88</v>
      </c>
      <c r="C293">
        <v>8</v>
      </c>
      <c r="D293">
        <v>7</v>
      </c>
      <c r="E293">
        <v>2</v>
      </c>
      <c r="F293">
        <v>5</v>
      </c>
      <c r="G293">
        <v>2894</v>
      </c>
    </row>
    <row r="294" spans="1:7" x14ac:dyDescent="0.25">
      <c r="A294">
        <v>103</v>
      </c>
      <c r="B294" t="s">
        <v>109</v>
      </c>
      <c r="C294">
        <v>10</v>
      </c>
      <c r="D294">
        <v>7</v>
      </c>
      <c r="E294">
        <v>2</v>
      </c>
      <c r="F294">
        <v>5</v>
      </c>
      <c r="G294">
        <v>0</v>
      </c>
    </row>
    <row r="295" spans="1:7" x14ac:dyDescent="0.25">
      <c r="A295">
        <v>113</v>
      </c>
      <c r="B295" t="s">
        <v>119</v>
      </c>
      <c r="C295">
        <v>8</v>
      </c>
      <c r="D295">
        <v>7</v>
      </c>
      <c r="E295">
        <v>2</v>
      </c>
      <c r="F295">
        <v>5</v>
      </c>
      <c r="G295">
        <v>461</v>
      </c>
    </row>
    <row r="296" spans="1:7" x14ac:dyDescent="0.25">
      <c r="A296">
        <v>115</v>
      </c>
      <c r="B296" t="s">
        <v>121</v>
      </c>
      <c r="C296">
        <v>11</v>
      </c>
      <c r="D296">
        <v>7</v>
      </c>
      <c r="E296">
        <v>2</v>
      </c>
      <c r="F296">
        <v>5</v>
      </c>
      <c r="G296">
        <v>1405</v>
      </c>
    </row>
    <row r="297" spans="1:7" x14ac:dyDescent="0.25">
      <c r="A297">
        <v>230</v>
      </c>
      <c r="B297" t="s">
        <v>236</v>
      </c>
      <c r="C297">
        <v>8</v>
      </c>
      <c r="D297">
        <v>7</v>
      </c>
      <c r="E297">
        <v>2</v>
      </c>
      <c r="F297">
        <v>5</v>
      </c>
      <c r="G297">
        <v>0</v>
      </c>
    </row>
    <row r="298" spans="1:7" x14ac:dyDescent="0.25">
      <c r="A298">
        <v>242</v>
      </c>
      <c r="B298" t="s">
        <v>248</v>
      </c>
      <c r="C298">
        <v>13</v>
      </c>
      <c r="D298">
        <v>7</v>
      </c>
      <c r="E298">
        <v>2</v>
      </c>
      <c r="F298">
        <v>5</v>
      </c>
      <c r="G298">
        <v>1443</v>
      </c>
    </row>
    <row r="299" spans="1:7" x14ac:dyDescent="0.25">
      <c r="A299">
        <v>261</v>
      </c>
      <c r="B299" t="s">
        <v>267</v>
      </c>
      <c r="C299">
        <v>8</v>
      </c>
      <c r="D299">
        <v>7</v>
      </c>
      <c r="E299">
        <v>2</v>
      </c>
      <c r="F299">
        <v>5</v>
      </c>
      <c r="G299">
        <v>742</v>
      </c>
    </row>
    <row r="300" spans="1:7" x14ac:dyDescent="0.25">
      <c r="A300">
        <v>298</v>
      </c>
      <c r="B300" t="s">
        <v>304</v>
      </c>
      <c r="C300">
        <v>11</v>
      </c>
      <c r="D300">
        <v>7</v>
      </c>
      <c r="E300">
        <v>2</v>
      </c>
      <c r="F300">
        <v>5</v>
      </c>
      <c r="G300">
        <v>1672</v>
      </c>
    </row>
    <row r="301" spans="1:7" x14ac:dyDescent="0.25">
      <c r="A301">
        <v>316</v>
      </c>
      <c r="B301" t="s">
        <v>322</v>
      </c>
      <c r="C301">
        <v>11</v>
      </c>
      <c r="D301">
        <v>7</v>
      </c>
      <c r="E301">
        <v>2</v>
      </c>
      <c r="F301">
        <v>5</v>
      </c>
      <c r="G301">
        <v>1654</v>
      </c>
    </row>
    <row r="302" spans="1:7" x14ac:dyDescent="0.25">
      <c r="A302">
        <v>94</v>
      </c>
      <c r="B302" t="s">
        <v>100</v>
      </c>
      <c r="C302">
        <v>10</v>
      </c>
      <c r="D302">
        <v>8</v>
      </c>
      <c r="E302">
        <v>3</v>
      </c>
      <c r="F302">
        <v>5</v>
      </c>
      <c r="G302">
        <v>755</v>
      </c>
    </row>
    <row r="303" spans="1:7" x14ac:dyDescent="0.25">
      <c r="A303">
        <v>192</v>
      </c>
      <c r="B303" t="s">
        <v>198</v>
      </c>
      <c r="C303">
        <v>10</v>
      </c>
      <c r="D303">
        <v>8</v>
      </c>
      <c r="E303">
        <v>3</v>
      </c>
      <c r="F303">
        <v>5</v>
      </c>
      <c r="G303">
        <v>2958</v>
      </c>
    </row>
    <row r="304" spans="1:7" x14ac:dyDescent="0.25">
      <c r="A304">
        <v>264</v>
      </c>
      <c r="B304" t="s">
        <v>270</v>
      </c>
      <c r="C304">
        <v>11</v>
      </c>
      <c r="D304">
        <v>8</v>
      </c>
      <c r="E304">
        <v>3</v>
      </c>
      <c r="F304">
        <v>5</v>
      </c>
      <c r="G304">
        <v>1056</v>
      </c>
    </row>
    <row r="305" spans="1:7" x14ac:dyDescent="0.25">
      <c r="A305">
        <v>310</v>
      </c>
      <c r="B305" t="s">
        <v>316</v>
      </c>
      <c r="C305">
        <v>9</v>
      </c>
      <c r="D305">
        <v>8</v>
      </c>
      <c r="E305">
        <v>3</v>
      </c>
      <c r="F305">
        <v>5</v>
      </c>
      <c r="G305">
        <v>2046</v>
      </c>
    </row>
    <row r="306" spans="1:7" x14ac:dyDescent="0.25">
      <c r="A306">
        <v>207</v>
      </c>
      <c r="B306" t="s">
        <v>213</v>
      </c>
      <c r="C306">
        <v>11</v>
      </c>
      <c r="D306">
        <v>9</v>
      </c>
      <c r="E306">
        <v>4</v>
      </c>
      <c r="F306">
        <v>5</v>
      </c>
      <c r="G306">
        <v>1625</v>
      </c>
    </row>
    <row r="307" spans="1:7" x14ac:dyDescent="0.25">
      <c r="A307">
        <v>13</v>
      </c>
      <c r="B307" t="s">
        <v>19</v>
      </c>
      <c r="C307">
        <v>11</v>
      </c>
      <c r="D307">
        <v>10</v>
      </c>
      <c r="E307">
        <v>5</v>
      </c>
      <c r="F307">
        <v>5</v>
      </c>
      <c r="G307">
        <v>3696</v>
      </c>
    </row>
    <row r="308" spans="1:7" x14ac:dyDescent="0.25">
      <c r="A308">
        <v>20</v>
      </c>
      <c r="B308" t="s">
        <v>26</v>
      </c>
      <c r="C308">
        <v>11</v>
      </c>
      <c r="D308">
        <v>10</v>
      </c>
      <c r="E308">
        <v>5</v>
      </c>
      <c r="F308">
        <v>5</v>
      </c>
      <c r="G308">
        <v>3293</v>
      </c>
    </row>
    <row r="309" spans="1:7" x14ac:dyDescent="0.25">
      <c r="A309">
        <v>244</v>
      </c>
      <c r="B309" t="s">
        <v>250</v>
      </c>
      <c r="C309">
        <v>12</v>
      </c>
      <c r="D309">
        <v>10</v>
      </c>
      <c r="E309">
        <v>5</v>
      </c>
      <c r="F309">
        <v>5</v>
      </c>
      <c r="G309">
        <v>2746</v>
      </c>
    </row>
    <row r="310" spans="1:7" x14ac:dyDescent="0.25">
      <c r="A310">
        <v>89</v>
      </c>
      <c r="B310" t="s">
        <v>95</v>
      </c>
      <c r="C310">
        <v>19</v>
      </c>
      <c r="D310">
        <v>12</v>
      </c>
      <c r="E310">
        <v>7</v>
      </c>
      <c r="F310">
        <v>5</v>
      </c>
      <c r="G310">
        <v>1532</v>
      </c>
    </row>
    <row r="311" spans="1:7" x14ac:dyDescent="0.25">
      <c r="A311">
        <v>161</v>
      </c>
      <c r="B311" t="s">
        <v>167</v>
      </c>
      <c r="C311">
        <v>13</v>
      </c>
      <c r="D311">
        <v>12</v>
      </c>
      <c r="E311">
        <v>7</v>
      </c>
      <c r="F311">
        <v>5</v>
      </c>
      <c r="G311">
        <v>3117</v>
      </c>
    </row>
    <row r="312" spans="1:7" x14ac:dyDescent="0.25">
      <c r="A312">
        <v>45</v>
      </c>
      <c r="B312" t="s">
        <v>51</v>
      </c>
      <c r="C312">
        <v>8</v>
      </c>
      <c r="D312">
        <v>6</v>
      </c>
      <c r="E312">
        <v>0</v>
      </c>
      <c r="F312">
        <v>6</v>
      </c>
      <c r="G312">
        <v>1126</v>
      </c>
    </row>
    <row r="313" spans="1:7" x14ac:dyDescent="0.25">
      <c r="A313">
        <v>105</v>
      </c>
      <c r="B313" t="s">
        <v>111</v>
      </c>
      <c r="C313">
        <v>7</v>
      </c>
      <c r="D313">
        <v>6</v>
      </c>
      <c r="E313">
        <v>0</v>
      </c>
      <c r="F313">
        <v>6</v>
      </c>
      <c r="G313">
        <v>0</v>
      </c>
    </row>
    <row r="314" spans="1:7" x14ac:dyDescent="0.25">
      <c r="A314">
        <v>121</v>
      </c>
      <c r="B314" t="s">
        <v>127</v>
      </c>
      <c r="C314">
        <v>12</v>
      </c>
      <c r="D314">
        <v>6</v>
      </c>
      <c r="E314">
        <v>0</v>
      </c>
      <c r="F314">
        <v>6</v>
      </c>
      <c r="G314">
        <v>0</v>
      </c>
    </row>
    <row r="315" spans="1:7" x14ac:dyDescent="0.25">
      <c r="A315">
        <v>130</v>
      </c>
      <c r="B315" t="s">
        <v>136</v>
      </c>
      <c r="C315">
        <v>10</v>
      </c>
      <c r="D315">
        <v>6</v>
      </c>
      <c r="E315">
        <v>0</v>
      </c>
      <c r="F315">
        <v>6</v>
      </c>
      <c r="G315">
        <v>2214</v>
      </c>
    </row>
    <row r="316" spans="1:7" x14ac:dyDescent="0.25">
      <c r="A316">
        <v>131</v>
      </c>
      <c r="B316" t="s">
        <v>137</v>
      </c>
      <c r="C316">
        <v>7</v>
      </c>
      <c r="D316">
        <v>6</v>
      </c>
      <c r="E316">
        <v>0</v>
      </c>
      <c r="F316">
        <v>6</v>
      </c>
      <c r="G316">
        <v>0</v>
      </c>
    </row>
    <row r="317" spans="1:7" x14ac:dyDescent="0.25">
      <c r="A317">
        <v>188</v>
      </c>
      <c r="B317" t="s">
        <v>194</v>
      </c>
      <c r="C317">
        <v>9</v>
      </c>
      <c r="D317">
        <v>6</v>
      </c>
      <c r="E317">
        <v>0</v>
      </c>
      <c r="F317">
        <v>6</v>
      </c>
      <c r="G317">
        <v>0</v>
      </c>
    </row>
    <row r="318" spans="1:7" x14ac:dyDescent="0.25">
      <c r="A318">
        <v>240</v>
      </c>
      <c r="B318" t="s">
        <v>246</v>
      </c>
      <c r="C318">
        <v>9</v>
      </c>
      <c r="D318">
        <v>6</v>
      </c>
      <c r="E318">
        <v>0</v>
      </c>
      <c r="F318">
        <v>6</v>
      </c>
      <c r="G318">
        <v>1707</v>
      </c>
    </row>
    <row r="319" spans="1:7" x14ac:dyDescent="0.25">
      <c r="A319">
        <v>296</v>
      </c>
      <c r="B319" t="s">
        <v>302</v>
      </c>
      <c r="C319">
        <v>14</v>
      </c>
      <c r="D319">
        <v>6</v>
      </c>
      <c r="E319">
        <v>0</v>
      </c>
      <c r="F319">
        <v>6</v>
      </c>
      <c r="G319">
        <v>2318</v>
      </c>
    </row>
    <row r="320" spans="1:7" x14ac:dyDescent="0.25">
      <c r="A320">
        <v>327</v>
      </c>
      <c r="B320" t="s">
        <v>333</v>
      </c>
      <c r="C320">
        <v>14</v>
      </c>
      <c r="D320">
        <v>6</v>
      </c>
      <c r="E320">
        <v>0</v>
      </c>
      <c r="F320">
        <v>6</v>
      </c>
      <c r="G320">
        <v>0</v>
      </c>
    </row>
    <row r="321" spans="1:7" x14ac:dyDescent="0.25">
      <c r="A321">
        <v>342</v>
      </c>
      <c r="B321" t="s">
        <v>348</v>
      </c>
      <c r="C321">
        <v>8</v>
      </c>
      <c r="D321">
        <v>6</v>
      </c>
      <c r="E321">
        <v>0</v>
      </c>
      <c r="F321">
        <v>6</v>
      </c>
      <c r="G321">
        <v>1556</v>
      </c>
    </row>
    <row r="322" spans="1:7" x14ac:dyDescent="0.25">
      <c r="A322">
        <v>382</v>
      </c>
      <c r="B322" t="s">
        <v>388</v>
      </c>
      <c r="C322">
        <v>7</v>
      </c>
      <c r="D322">
        <v>6</v>
      </c>
      <c r="E322">
        <v>0</v>
      </c>
      <c r="F322">
        <v>6</v>
      </c>
      <c r="G322">
        <v>29</v>
      </c>
    </row>
    <row r="323" spans="1:7" x14ac:dyDescent="0.25">
      <c r="A323">
        <v>389</v>
      </c>
      <c r="B323" t="s">
        <v>395</v>
      </c>
      <c r="C323">
        <v>7</v>
      </c>
      <c r="D323">
        <v>6</v>
      </c>
      <c r="E323">
        <v>0</v>
      </c>
      <c r="F323">
        <v>6</v>
      </c>
      <c r="G323">
        <v>2</v>
      </c>
    </row>
    <row r="324" spans="1:7" x14ac:dyDescent="0.25">
      <c r="A324">
        <v>396</v>
      </c>
      <c r="B324" t="s">
        <v>402</v>
      </c>
      <c r="C324">
        <v>7</v>
      </c>
      <c r="D324">
        <v>6</v>
      </c>
      <c r="E324">
        <v>0</v>
      </c>
      <c r="F324">
        <v>6</v>
      </c>
      <c r="G324">
        <v>985</v>
      </c>
    </row>
    <row r="325" spans="1:7" x14ac:dyDescent="0.25">
      <c r="A325">
        <v>31</v>
      </c>
      <c r="B325" t="s">
        <v>37</v>
      </c>
      <c r="C325">
        <v>8</v>
      </c>
      <c r="D325">
        <v>7</v>
      </c>
      <c r="E325">
        <v>1</v>
      </c>
      <c r="F325">
        <v>6</v>
      </c>
      <c r="G325">
        <v>3336</v>
      </c>
    </row>
    <row r="326" spans="1:7" x14ac:dyDescent="0.25">
      <c r="A326">
        <v>64</v>
      </c>
      <c r="B326" t="s">
        <v>70</v>
      </c>
      <c r="C326">
        <v>8</v>
      </c>
      <c r="D326">
        <v>7</v>
      </c>
      <c r="E326">
        <v>1</v>
      </c>
      <c r="F326">
        <v>6</v>
      </c>
      <c r="G326">
        <v>2654</v>
      </c>
    </row>
    <row r="327" spans="1:7" x14ac:dyDescent="0.25">
      <c r="A327">
        <v>118</v>
      </c>
      <c r="B327" t="s">
        <v>124</v>
      </c>
      <c r="C327">
        <v>9</v>
      </c>
      <c r="D327">
        <v>7</v>
      </c>
      <c r="E327">
        <v>1</v>
      </c>
      <c r="F327">
        <v>6</v>
      </c>
      <c r="G327">
        <v>2</v>
      </c>
    </row>
    <row r="328" spans="1:7" x14ac:dyDescent="0.25">
      <c r="A328">
        <v>183</v>
      </c>
      <c r="B328" t="s">
        <v>189</v>
      </c>
      <c r="C328">
        <v>13</v>
      </c>
      <c r="D328">
        <v>7</v>
      </c>
      <c r="E328">
        <v>1</v>
      </c>
      <c r="F328">
        <v>6</v>
      </c>
      <c r="G328">
        <v>2165</v>
      </c>
    </row>
    <row r="329" spans="1:7" x14ac:dyDescent="0.25">
      <c r="A329">
        <v>306</v>
      </c>
      <c r="B329" t="s">
        <v>312</v>
      </c>
      <c r="C329">
        <v>11</v>
      </c>
      <c r="D329">
        <v>7</v>
      </c>
      <c r="E329">
        <v>1</v>
      </c>
      <c r="F329">
        <v>6</v>
      </c>
      <c r="G329">
        <v>1892</v>
      </c>
    </row>
    <row r="330" spans="1:7" x14ac:dyDescent="0.25">
      <c r="A330">
        <v>374</v>
      </c>
      <c r="B330" t="s">
        <v>380</v>
      </c>
      <c r="C330">
        <v>12</v>
      </c>
      <c r="D330">
        <v>7</v>
      </c>
      <c r="E330">
        <v>1</v>
      </c>
      <c r="F330">
        <v>6</v>
      </c>
      <c r="G330">
        <v>163</v>
      </c>
    </row>
    <row r="331" spans="1:7" x14ac:dyDescent="0.25">
      <c r="A331">
        <v>35</v>
      </c>
      <c r="B331" t="s">
        <v>41</v>
      </c>
      <c r="C331">
        <v>11</v>
      </c>
      <c r="D331">
        <v>8</v>
      </c>
      <c r="E331">
        <v>2</v>
      </c>
      <c r="F331">
        <v>6</v>
      </c>
      <c r="G331">
        <v>1079</v>
      </c>
    </row>
    <row r="332" spans="1:7" x14ac:dyDescent="0.25">
      <c r="A332">
        <v>124</v>
      </c>
      <c r="B332" t="s">
        <v>130</v>
      </c>
      <c r="C332">
        <v>9</v>
      </c>
      <c r="D332">
        <v>8</v>
      </c>
      <c r="E332">
        <v>2</v>
      </c>
      <c r="F332">
        <v>6</v>
      </c>
      <c r="G332">
        <v>998</v>
      </c>
    </row>
    <row r="333" spans="1:7" x14ac:dyDescent="0.25">
      <c r="A333">
        <v>172</v>
      </c>
      <c r="B333" t="s">
        <v>178</v>
      </c>
      <c r="C333">
        <v>11</v>
      </c>
      <c r="D333">
        <v>8</v>
      </c>
      <c r="E333">
        <v>2</v>
      </c>
      <c r="F333">
        <v>6</v>
      </c>
      <c r="G333">
        <v>1796</v>
      </c>
    </row>
    <row r="334" spans="1:7" x14ac:dyDescent="0.25">
      <c r="A334">
        <v>352</v>
      </c>
      <c r="B334" t="s">
        <v>358</v>
      </c>
      <c r="C334">
        <v>11</v>
      </c>
      <c r="D334">
        <v>8</v>
      </c>
      <c r="E334">
        <v>2</v>
      </c>
      <c r="F334">
        <v>6</v>
      </c>
      <c r="G334">
        <v>524</v>
      </c>
    </row>
    <row r="335" spans="1:7" x14ac:dyDescent="0.25">
      <c r="A335">
        <v>355</v>
      </c>
      <c r="B335" t="s">
        <v>361</v>
      </c>
      <c r="C335">
        <v>9</v>
      </c>
      <c r="D335">
        <v>8</v>
      </c>
      <c r="E335">
        <v>2</v>
      </c>
      <c r="F335">
        <v>6</v>
      </c>
      <c r="G335">
        <v>755</v>
      </c>
    </row>
    <row r="336" spans="1:7" x14ac:dyDescent="0.25">
      <c r="A336">
        <v>10</v>
      </c>
      <c r="B336" t="s">
        <v>16</v>
      </c>
      <c r="C336">
        <v>10</v>
      </c>
      <c r="D336">
        <v>9</v>
      </c>
      <c r="E336">
        <v>3</v>
      </c>
      <c r="F336">
        <v>6</v>
      </c>
      <c r="G336">
        <v>1733</v>
      </c>
    </row>
    <row r="337" spans="1:7" x14ac:dyDescent="0.25">
      <c r="A337">
        <v>109</v>
      </c>
      <c r="B337" t="s">
        <v>115</v>
      </c>
      <c r="C337">
        <v>18</v>
      </c>
      <c r="D337">
        <v>9</v>
      </c>
      <c r="E337">
        <v>3</v>
      </c>
      <c r="F337">
        <v>6</v>
      </c>
      <c r="G337">
        <v>1813</v>
      </c>
    </row>
    <row r="338" spans="1:7" x14ac:dyDescent="0.25">
      <c r="A338">
        <v>239</v>
      </c>
      <c r="B338" t="s">
        <v>245</v>
      </c>
      <c r="C338">
        <v>14</v>
      </c>
      <c r="D338">
        <v>9</v>
      </c>
      <c r="E338">
        <v>3</v>
      </c>
      <c r="F338">
        <v>6</v>
      </c>
      <c r="G338">
        <v>1114</v>
      </c>
    </row>
    <row r="339" spans="1:7" x14ac:dyDescent="0.25">
      <c r="A339">
        <v>150</v>
      </c>
      <c r="B339" t="s">
        <v>156</v>
      </c>
      <c r="C339">
        <v>15</v>
      </c>
      <c r="D339">
        <v>10</v>
      </c>
      <c r="E339">
        <v>4</v>
      </c>
      <c r="F339">
        <v>6</v>
      </c>
      <c r="G339">
        <v>3002</v>
      </c>
    </row>
    <row r="340" spans="1:7" x14ac:dyDescent="0.25">
      <c r="A340">
        <v>12</v>
      </c>
      <c r="B340" t="s">
        <v>18</v>
      </c>
      <c r="C340">
        <v>12</v>
      </c>
      <c r="D340">
        <v>11</v>
      </c>
      <c r="E340">
        <v>5</v>
      </c>
      <c r="F340">
        <v>6</v>
      </c>
      <c r="G340">
        <v>1984</v>
      </c>
    </row>
    <row r="341" spans="1:7" x14ac:dyDescent="0.25">
      <c r="A341">
        <v>83</v>
      </c>
      <c r="B341" t="s">
        <v>89</v>
      </c>
      <c r="C341">
        <v>13</v>
      </c>
      <c r="D341">
        <v>11</v>
      </c>
      <c r="E341">
        <v>5</v>
      </c>
      <c r="F341">
        <v>6</v>
      </c>
      <c r="G341">
        <v>2544</v>
      </c>
    </row>
    <row r="342" spans="1:7" x14ac:dyDescent="0.25">
      <c r="A342">
        <v>140</v>
      </c>
      <c r="B342" t="s">
        <v>146</v>
      </c>
      <c r="C342">
        <v>16</v>
      </c>
      <c r="D342">
        <v>15</v>
      </c>
      <c r="E342">
        <v>9</v>
      </c>
      <c r="F342">
        <v>6</v>
      </c>
      <c r="G342">
        <v>2001</v>
      </c>
    </row>
    <row r="343" spans="1:7" x14ac:dyDescent="0.25">
      <c r="A343">
        <v>141</v>
      </c>
      <c r="B343" t="s">
        <v>147</v>
      </c>
      <c r="C343">
        <v>10</v>
      </c>
      <c r="D343">
        <v>7</v>
      </c>
      <c r="E343">
        <v>0</v>
      </c>
      <c r="F343">
        <v>7</v>
      </c>
      <c r="G343">
        <v>647</v>
      </c>
    </row>
    <row r="344" spans="1:7" x14ac:dyDescent="0.25">
      <c r="A344">
        <v>156</v>
      </c>
      <c r="B344" t="s">
        <v>162</v>
      </c>
      <c r="C344">
        <v>9</v>
      </c>
      <c r="D344">
        <v>7</v>
      </c>
      <c r="E344">
        <v>0</v>
      </c>
      <c r="F344">
        <v>7</v>
      </c>
      <c r="G344">
        <v>0</v>
      </c>
    </row>
    <row r="345" spans="1:7" x14ac:dyDescent="0.25">
      <c r="A345">
        <v>179</v>
      </c>
      <c r="B345" t="s">
        <v>185</v>
      </c>
      <c r="C345">
        <v>11</v>
      </c>
      <c r="D345">
        <v>7</v>
      </c>
      <c r="E345">
        <v>0</v>
      </c>
      <c r="F345">
        <v>7</v>
      </c>
      <c r="G345">
        <v>0</v>
      </c>
    </row>
    <row r="346" spans="1:7" x14ac:dyDescent="0.25">
      <c r="A346">
        <v>193</v>
      </c>
      <c r="B346" t="s">
        <v>199</v>
      </c>
      <c r="C346">
        <v>14</v>
      </c>
      <c r="D346">
        <v>7</v>
      </c>
      <c r="E346">
        <v>0</v>
      </c>
      <c r="F346">
        <v>7</v>
      </c>
      <c r="G346">
        <v>0</v>
      </c>
    </row>
    <row r="347" spans="1:7" x14ac:dyDescent="0.25">
      <c r="A347">
        <v>349</v>
      </c>
      <c r="B347" t="s">
        <v>355</v>
      </c>
      <c r="C347">
        <v>9</v>
      </c>
      <c r="D347">
        <v>7</v>
      </c>
      <c r="E347">
        <v>0</v>
      </c>
      <c r="F347">
        <v>7</v>
      </c>
      <c r="G347">
        <v>762</v>
      </c>
    </row>
    <row r="348" spans="1:7" x14ac:dyDescent="0.25">
      <c r="A348">
        <v>388</v>
      </c>
      <c r="B348" t="s">
        <v>394</v>
      </c>
      <c r="C348">
        <v>12</v>
      </c>
      <c r="D348">
        <v>7</v>
      </c>
      <c r="E348">
        <v>0</v>
      </c>
      <c r="F348">
        <v>7</v>
      </c>
      <c r="G348">
        <v>0</v>
      </c>
    </row>
    <row r="349" spans="1:7" x14ac:dyDescent="0.25">
      <c r="A349">
        <v>419</v>
      </c>
      <c r="B349" t="s">
        <v>425</v>
      </c>
      <c r="C349">
        <v>12</v>
      </c>
      <c r="D349">
        <v>7</v>
      </c>
      <c r="E349">
        <v>0</v>
      </c>
      <c r="F349">
        <v>7</v>
      </c>
      <c r="G349">
        <v>3</v>
      </c>
    </row>
    <row r="350" spans="1:7" x14ac:dyDescent="0.25">
      <c r="A350">
        <v>22</v>
      </c>
      <c r="B350" t="s">
        <v>28</v>
      </c>
      <c r="C350">
        <v>9</v>
      </c>
      <c r="D350">
        <v>8</v>
      </c>
      <c r="E350">
        <v>1</v>
      </c>
      <c r="F350">
        <v>7</v>
      </c>
      <c r="G350">
        <v>0</v>
      </c>
    </row>
    <row r="351" spans="1:7" x14ac:dyDescent="0.25">
      <c r="A351">
        <v>38</v>
      </c>
      <c r="B351" t="s">
        <v>44</v>
      </c>
      <c r="C351">
        <v>10</v>
      </c>
      <c r="D351">
        <v>8</v>
      </c>
      <c r="E351">
        <v>1</v>
      </c>
      <c r="F351">
        <v>7</v>
      </c>
      <c r="G351">
        <v>3284</v>
      </c>
    </row>
    <row r="352" spans="1:7" x14ac:dyDescent="0.25">
      <c r="A352">
        <v>44</v>
      </c>
      <c r="B352" t="s">
        <v>50</v>
      </c>
      <c r="C352">
        <v>9</v>
      </c>
      <c r="D352">
        <v>8</v>
      </c>
      <c r="E352">
        <v>1</v>
      </c>
      <c r="F352">
        <v>7</v>
      </c>
      <c r="G352">
        <v>1106</v>
      </c>
    </row>
    <row r="353" spans="1:7" x14ac:dyDescent="0.25">
      <c r="A353">
        <v>87</v>
      </c>
      <c r="B353" t="s">
        <v>93</v>
      </c>
      <c r="C353">
        <v>9</v>
      </c>
      <c r="D353">
        <v>8</v>
      </c>
      <c r="E353">
        <v>1</v>
      </c>
      <c r="F353">
        <v>7</v>
      </c>
      <c r="G353">
        <v>0</v>
      </c>
    </row>
    <row r="354" spans="1:7" x14ac:dyDescent="0.25">
      <c r="A354">
        <v>220</v>
      </c>
      <c r="B354" t="s">
        <v>226</v>
      </c>
      <c r="C354">
        <v>14</v>
      </c>
      <c r="D354">
        <v>8</v>
      </c>
      <c r="E354">
        <v>1</v>
      </c>
      <c r="F354">
        <v>7</v>
      </c>
      <c r="G354">
        <v>2191</v>
      </c>
    </row>
    <row r="355" spans="1:7" x14ac:dyDescent="0.25">
      <c r="A355">
        <v>357</v>
      </c>
      <c r="B355" t="s">
        <v>363</v>
      </c>
      <c r="C355">
        <v>15</v>
      </c>
      <c r="D355">
        <v>8</v>
      </c>
      <c r="E355">
        <v>1</v>
      </c>
      <c r="F355">
        <v>7</v>
      </c>
      <c r="G355">
        <v>1404</v>
      </c>
    </row>
    <row r="356" spans="1:7" x14ac:dyDescent="0.25">
      <c r="A356">
        <v>400</v>
      </c>
      <c r="B356" t="s">
        <v>406</v>
      </c>
      <c r="C356">
        <v>12</v>
      </c>
      <c r="D356">
        <v>8</v>
      </c>
      <c r="E356">
        <v>1</v>
      </c>
      <c r="F356">
        <v>7</v>
      </c>
      <c r="G356">
        <v>0</v>
      </c>
    </row>
    <row r="357" spans="1:7" x14ac:dyDescent="0.25">
      <c r="A357">
        <v>73</v>
      </c>
      <c r="B357" t="s">
        <v>79</v>
      </c>
      <c r="C357">
        <v>10</v>
      </c>
      <c r="D357">
        <v>9</v>
      </c>
      <c r="E357">
        <v>2</v>
      </c>
      <c r="F357">
        <v>7</v>
      </c>
      <c r="G357">
        <v>3763</v>
      </c>
    </row>
    <row r="358" spans="1:7" x14ac:dyDescent="0.25">
      <c r="A358">
        <v>147</v>
      </c>
      <c r="B358" t="s">
        <v>153</v>
      </c>
      <c r="C358">
        <v>11</v>
      </c>
      <c r="D358">
        <v>9</v>
      </c>
      <c r="E358">
        <v>2</v>
      </c>
      <c r="F358">
        <v>7</v>
      </c>
      <c r="G358">
        <v>3125</v>
      </c>
    </row>
    <row r="359" spans="1:7" x14ac:dyDescent="0.25">
      <c r="A359">
        <v>215</v>
      </c>
      <c r="B359" t="s">
        <v>221</v>
      </c>
      <c r="C359">
        <v>13</v>
      </c>
      <c r="D359">
        <v>9</v>
      </c>
      <c r="E359">
        <v>2</v>
      </c>
      <c r="F359">
        <v>7</v>
      </c>
      <c r="G359">
        <v>2650</v>
      </c>
    </row>
    <row r="360" spans="1:7" x14ac:dyDescent="0.25">
      <c r="A360">
        <v>273</v>
      </c>
      <c r="B360" t="s">
        <v>279</v>
      </c>
      <c r="C360">
        <v>12</v>
      </c>
      <c r="D360">
        <v>9</v>
      </c>
      <c r="E360">
        <v>2</v>
      </c>
      <c r="F360">
        <v>7</v>
      </c>
      <c r="G360">
        <v>0</v>
      </c>
    </row>
    <row r="361" spans="1:7" x14ac:dyDescent="0.25">
      <c r="A361">
        <v>294</v>
      </c>
      <c r="B361" t="s">
        <v>300</v>
      </c>
      <c r="C361">
        <v>12</v>
      </c>
      <c r="D361">
        <v>9</v>
      </c>
      <c r="E361">
        <v>2</v>
      </c>
      <c r="F361">
        <v>7</v>
      </c>
      <c r="G361">
        <v>1770</v>
      </c>
    </row>
    <row r="362" spans="1:7" x14ac:dyDescent="0.25">
      <c r="A362">
        <v>381</v>
      </c>
      <c r="B362" t="s">
        <v>387</v>
      </c>
      <c r="C362">
        <v>17</v>
      </c>
      <c r="D362">
        <v>9</v>
      </c>
      <c r="E362">
        <v>2</v>
      </c>
      <c r="F362">
        <v>7</v>
      </c>
      <c r="G362">
        <v>7</v>
      </c>
    </row>
    <row r="363" spans="1:7" x14ac:dyDescent="0.25">
      <c r="A363">
        <v>309</v>
      </c>
      <c r="B363" t="s">
        <v>315</v>
      </c>
      <c r="C363">
        <v>17</v>
      </c>
      <c r="D363">
        <v>10</v>
      </c>
      <c r="E363">
        <v>3</v>
      </c>
      <c r="F363">
        <v>7</v>
      </c>
      <c r="G363">
        <v>211</v>
      </c>
    </row>
    <row r="364" spans="1:7" x14ac:dyDescent="0.25">
      <c r="A364">
        <v>33</v>
      </c>
      <c r="B364" t="s">
        <v>39</v>
      </c>
      <c r="C364">
        <v>14</v>
      </c>
      <c r="D364">
        <v>11</v>
      </c>
      <c r="E364">
        <v>4</v>
      </c>
      <c r="F364">
        <v>7</v>
      </c>
      <c r="G364">
        <v>2390</v>
      </c>
    </row>
    <row r="365" spans="1:7" x14ac:dyDescent="0.25">
      <c r="A365">
        <v>52</v>
      </c>
      <c r="B365" t="s">
        <v>58</v>
      </c>
      <c r="C365">
        <v>12</v>
      </c>
      <c r="D365">
        <v>11</v>
      </c>
      <c r="E365">
        <v>4</v>
      </c>
      <c r="F365">
        <v>7</v>
      </c>
      <c r="G365">
        <v>2477</v>
      </c>
    </row>
    <row r="366" spans="1:7" x14ac:dyDescent="0.25">
      <c r="A366">
        <v>62</v>
      </c>
      <c r="B366" t="s">
        <v>68</v>
      </c>
      <c r="C366">
        <v>13</v>
      </c>
      <c r="D366">
        <v>12</v>
      </c>
      <c r="E366">
        <v>5</v>
      </c>
      <c r="F366">
        <v>7</v>
      </c>
      <c r="G366">
        <v>1888</v>
      </c>
    </row>
    <row r="367" spans="1:7" x14ac:dyDescent="0.25">
      <c r="A367">
        <v>21</v>
      </c>
      <c r="B367" t="s">
        <v>27</v>
      </c>
      <c r="C367">
        <v>19</v>
      </c>
      <c r="D367">
        <v>13</v>
      </c>
      <c r="E367">
        <v>6</v>
      </c>
      <c r="F367">
        <v>7</v>
      </c>
      <c r="G367">
        <v>3002</v>
      </c>
    </row>
    <row r="368" spans="1:7" x14ac:dyDescent="0.25">
      <c r="A368">
        <v>394</v>
      </c>
      <c r="B368" t="s">
        <v>400</v>
      </c>
      <c r="C368">
        <v>18</v>
      </c>
      <c r="D368">
        <v>13</v>
      </c>
      <c r="E368">
        <v>6</v>
      </c>
      <c r="F368">
        <v>7</v>
      </c>
      <c r="G368">
        <v>1283</v>
      </c>
    </row>
    <row r="369" spans="1:7" x14ac:dyDescent="0.25">
      <c r="A369">
        <v>68</v>
      </c>
      <c r="B369" t="s">
        <v>74</v>
      </c>
      <c r="C369">
        <v>15</v>
      </c>
      <c r="D369">
        <v>14</v>
      </c>
      <c r="E369">
        <v>7</v>
      </c>
      <c r="F369">
        <v>7</v>
      </c>
      <c r="G369">
        <v>3720</v>
      </c>
    </row>
    <row r="370" spans="1:7" x14ac:dyDescent="0.25">
      <c r="A370">
        <v>177</v>
      </c>
      <c r="B370" t="s">
        <v>183</v>
      </c>
      <c r="C370">
        <v>16</v>
      </c>
      <c r="D370">
        <v>14</v>
      </c>
      <c r="E370">
        <v>7</v>
      </c>
      <c r="F370">
        <v>7</v>
      </c>
      <c r="G370">
        <v>3288</v>
      </c>
    </row>
    <row r="371" spans="1:7" x14ac:dyDescent="0.25">
      <c r="A371">
        <v>125</v>
      </c>
      <c r="B371" t="s">
        <v>131</v>
      </c>
      <c r="C371">
        <v>12</v>
      </c>
      <c r="D371">
        <v>8</v>
      </c>
      <c r="E371">
        <v>0</v>
      </c>
      <c r="F371">
        <v>8</v>
      </c>
      <c r="G371">
        <v>1290</v>
      </c>
    </row>
    <row r="372" spans="1:7" x14ac:dyDescent="0.25">
      <c r="A372">
        <v>334</v>
      </c>
      <c r="B372" t="s">
        <v>340</v>
      </c>
      <c r="C372">
        <v>11</v>
      </c>
      <c r="D372">
        <v>8</v>
      </c>
      <c r="E372">
        <v>0</v>
      </c>
      <c r="F372">
        <v>8</v>
      </c>
      <c r="G372">
        <v>3</v>
      </c>
    </row>
    <row r="373" spans="1:7" x14ac:dyDescent="0.25">
      <c r="A373">
        <v>40</v>
      </c>
      <c r="B373" t="s">
        <v>46</v>
      </c>
      <c r="C373">
        <v>12</v>
      </c>
      <c r="D373">
        <v>10</v>
      </c>
      <c r="E373">
        <v>2</v>
      </c>
      <c r="F373">
        <v>8</v>
      </c>
      <c r="G373">
        <v>4223</v>
      </c>
    </row>
    <row r="374" spans="1:7" x14ac:dyDescent="0.25">
      <c r="A374">
        <v>101</v>
      </c>
      <c r="B374" t="s">
        <v>107</v>
      </c>
      <c r="C374">
        <v>13</v>
      </c>
      <c r="D374">
        <v>10</v>
      </c>
      <c r="E374">
        <v>2</v>
      </c>
      <c r="F374">
        <v>8</v>
      </c>
      <c r="G374">
        <v>3</v>
      </c>
    </row>
    <row r="375" spans="1:7" x14ac:dyDescent="0.25">
      <c r="A375">
        <v>157</v>
      </c>
      <c r="B375" t="s">
        <v>163</v>
      </c>
      <c r="C375">
        <v>12</v>
      </c>
      <c r="D375">
        <v>10</v>
      </c>
      <c r="E375">
        <v>2</v>
      </c>
      <c r="F375">
        <v>8</v>
      </c>
      <c r="G375">
        <v>2104</v>
      </c>
    </row>
    <row r="376" spans="1:7" x14ac:dyDescent="0.25">
      <c r="A376">
        <v>360</v>
      </c>
      <c r="B376" t="s">
        <v>366</v>
      </c>
      <c r="C376">
        <v>12</v>
      </c>
      <c r="D376">
        <v>10</v>
      </c>
      <c r="E376">
        <v>2</v>
      </c>
      <c r="F376">
        <v>8</v>
      </c>
      <c r="G376">
        <v>10</v>
      </c>
    </row>
    <row r="377" spans="1:7" x14ac:dyDescent="0.25">
      <c r="A377">
        <v>47</v>
      </c>
      <c r="B377" t="s">
        <v>53</v>
      </c>
      <c r="C377">
        <v>12</v>
      </c>
      <c r="D377">
        <v>11</v>
      </c>
      <c r="E377">
        <v>3</v>
      </c>
      <c r="F377">
        <v>8</v>
      </c>
      <c r="G377">
        <v>324</v>
      </c>
    </row>
    <row r="378" spans="1:7" x14ac:dyDescent="0.25">
      <c r="A378">
        <v>58</v>
      </c>
      <c r="B378" t="s">
        <v>64</v>
      </c>
      <c r="C378">
        <v>12</v>
      </c>
      <c r="D378">
        <v>11</v>
      </c>
      <c r="E378">
        <v>3</v>
      </c>
      <c r="F378">
        <v>8</v>
      </c>
      <c r="G378">
        <v>2645</v>
      </c>
    </row>
    <row r="379" spans="1:7" x14ac:dyDescent="0.25">
      <c r="A379">
        <v>245</v>
      </c>
      <c r="B379" t="s">
        <v>251</v>
      </c>
      <c r="C379">
        <v>14</v>
      </c>
      <c r="D379">
        <v>12</v>
      </c>
      <c r="E379">
        <v>4</v>
      </c>
      <c r="F379">
        <v>8</v>
      </c>
      <c r="G379">
        <v>2297</v>
      </c>
    </row>
    <row r="380" spans="1:7" x14ac:dyDescent="0.25">
      <c r="A380">
        <v>277</v>
      </c>
      <c r="B380" t="s">
        <v>283</v>
      </c>
      <c r="C380">
        <v>17</v>
      </c>
      <c r="D380">
        <v>12</v>
      </c>
      <c r="E380">
        <v>4</v>
      </c>
      <c r="F380">
        <v>8</v>
      </c>
      <c r="G380">
        <v>2512</v>
      </c>
    </row>
    <row r="381" spans="1:7" x14ac:dyDescent="0.25">
      <c r="A381">
        <v>175</v>
      </c>
      <c r="B381" t="s">
        <v>181</v>
      </c>
      <c r="C381">
        <v>14</v>
      </c>
      <c r="D381">
        <v>13</v>
      </c>
      <c r="E381">
        <v>5</v>
      </c>
      <c r="F381">
        <v>8</v>
      </c>
      <c r="G381">
        <v>3427</v>
      </c>
    </row>
    <row r="382" spans="1:7" x14ac:dyDescent="0.25">
      <c r="A382">
        <v>283</v>
      </c>
      <c r="B382" t="s">
        <v>289</v>
      </c>
      <c r="C382">
        <v>10</v>
      </c>
      <c r="D382">
        <v>9</v>
      </c>
      <c r="E382">
        <v>0</v>
      </c>
      <c r="F382">
        <v>9</v>
      </c>
      <c r="G382">
        <v>684</v>
      </c>
    </row>
    <row r="383" spans="1:7" x14ac:dyDescent="0.25">
      <c r="A383">
        <v>39</v>
      </c>
      <c r="B383" t="s">
        <v>45</v>
      </c>
      <c r="C383">
        <v>17</v>
      </c>
      <c r="D383">
        <v>10</v>
      </c>
      <c r="E383">
        <v>1</v>
      </c>
      <c r="F383">
        <v>9</v>
      </c>
      <c r="G383">
        <v>4048</v>
      </c>
    </row>
    <row r="384" spans="1:7" x14ac:dyDescent="0.25">
      <c r="A384">
        <v>330</v>
      </c>
      <c r="B384" t="s">
        <v>336</v>
      </c>
      <c r="C384">
        <v>24</v>
      </c>
      <c r="D384">
        <v>10</v>
      </c>
      <c r="E384">
        <v>1</v>
      </c>
      <c r="F384">
        <v>9</v>
      </c>
      <c r="G384">
        <v>1</v>
      </c>
    </row>
    <row r="385" spans="1:7" x14ac:dyDescent="0.25">
      <c r="A385">
        <v>128</v>
      </c>
      <c r="B385" t="s">
        <v>134</v>
      </c>
      <c r="C385">
        <v>13</v>
      </c>
      <c r="D385">
        <v>11</v>
      </c>
      <c r="E385">
        <v>2</v>
      </c>
      <c r="F385">
        <v>9</v>
      </c>
      <c r="G385">
        <v>878</v>
      </c>
    </row>
    <row r="386" spans="1:7" x14ac:dyDescent="0.25">
      <c r="A386">
        <v>151</v>
      </c>
      <c r="B386" t="s">
        <v>157</v>
      </c>
      <c r="C386">
        <v>14</v>
      </c>
      <c r="D386">
        <v>12</v>
      </c>
      <c r="E386">
        <v>3</v>
      </c>
      <c r="F386">
        <v>9</v>
      </c>
      <c r="G386">
        <v>2349</v>
      </c>
    </row>
    <row r="387" spans="1:7" x14ac:dyDescent="0.25">
      <c r="A387">
        <v>269</v>
      </c>
      <c r="B387" t="s">
        <v>275</v>
      </c>
      <c r="C387">
        <v>16</v>
      </c>
      <c r="D387">
        <v>12</v>
      </c>
      <c r="E387">
        <v>3</v>
      </c>
      <c r="F387">
        <v>9</v>
      </c>
      <c r="G387">
        <v>2396</v>
      </c>
    </row>
    <row r="388" spans="1:7" x14ac:dyDescent="0.25">
      <c r="A388">
        <v>225</v>
      </c>
      <c r="B388" t="s">
        <v>231</v>
      </c>
      <c r="C388">
        <v>17</v>
      </c>
      <c r="D388">
        <v>13</v>
      </c>
      <c r="E388">
        <v>4</v>
      </c>
      <c r="F388">
        <v>9</v>
      </c>
      <c r="G388">
        <v>1372</v>
      </c>
    </row>
    <row r="389" spans="1:7" x14ac:dyDescent="0.25">
      <c r="A389">
        <v>189</v>
      </c>
      <c r="B389" t="s">
        <v>195</v>
      </c>
      <c r="C389">
        <v>15</v>
      </c>
      <c r="D389">
        <v>14</v>
      </c>
      <c r="E389">
        <v>5</v>
      </c>
      <c r="F389">
        <v>9</v>
      </c>
      <c r="G389">
        <v>2861</v>
      </c>
    </row>
    <row r="390" spans="1:7" x14ac:dyDescent="0.25">
      <c r="A390">
        <v>208</v>
      </c>
      <c r="B390" t="s">
        <v>214</v>
      </c>
      <c r="C390">
        <v>15</v>
      </c>
      <c r="D390">
        <v>14</v>
      </c>
      <c r="E390">
        <v>5</v>
      </c>
      <c r="F390">
        <v>9</v>
      </c>
      <c r="G390">
        <v>3115</v>
      </c>
    </row>
    <row r="391" spans="1:7" x14ac:dyDescent="0.25">
      <c r="A391">
        <v>142</v>
      </c>
      <c r="B391" t="s">
        <v>148</v>
      </c>
      <c r="C391">
        <v>25</v>
      </c>
      <c r="D391">
        <v>15</v>
      </c>
      <c r="E391">
        <v>6</v>
      </c>
      <c r="F391">
        <v>9</v>
      </c>
      <c r="G391">
        <v>3087</v>
      </c>
    </row>
    <row r="392" spans="1:7" x14ac:dyDescent="0.25">
      <c r="A392">
        <v>303</v>
      </c>
      <c r="B392" t="s">
        <v>309</v>
      </c>
      <c r="C392">
        <v>11</v>
      </c>
      <c r="D392">
        <v>10</v>
      </c>
      <c r="E392">
        <v>0</v>
      </c>
      <c r="F392">
        <v>10</v>
      </c>
      <c r="G392">
        <v>0</v>
      </c>
    </row>
    <row r="393" spans="1:7" x14ac:dyDescent="0.25">
      <c r="A393">
        <v>34</v>
      </c>
      <c r="B393" t="s">
        <v>40</v>
      </c>
      <c r="C393">
        <v>18</v>
      </c>
      <c r="D393">
        <v>11</v>
      </c>
      <c r="E393">
        <v>1</v>
      </c>
      <c r="F393">
        <v>10</v>
      </c>
      <c r="G393">
        <v>2651</v>
      </c>
    </row>
    <row r="394" spans="1:7" x14ac:dyDescent="0.25">
      <c r="A394">
        <v>99</v>
      </c>
      <c r="B394" t="s">
        <v>105</v>
      </c>
      <c r="C394">
        <v>13</v>
      </c>
      <c r="D394">
        <v>11</v>
      </c>
      <c r="E394">
        <v>1</v>
      </c>
      <c r="F394">
        <v>10</v>
      </c>
      <c r="G394">
        <v>2357</v>
      </c>
    </row>
    <row r="395" spans="1:7" x14ac:dyDescent="0.25">
      <c r="A395">
        <v>233</v>
      </c>
      <c r="B395" t="s">
        <v>239</v>
      </c>
      <c r="C395">
        <v>14</v>
      </c>
      <c r="D395">
        <v>11</v>
      </c>
      <c r="E395">
        <v>1</v>
      </c>
      <c r="F395">
        <v>10</v>
      </c>
      <c r="G395">
        <v>1917</v>
      </c>
    </row>
    <row r="396" spans="1:7" x14ac:dyDescent="0.25">
      <c r="A396">
        <v>263</v>
      </c>
      <c r="B396" t="s">
        <v>269</v>
      </c>
      <c r="C396">
        <v>16</v>
      </c>
      <c r="D396">
        <v>11</v>
      </c>
      <c r="E396">
        <v>1</v>
      </c>
      <c r="F396">
        <v>10</v>
      </c>
      <c r="G396">
        <v>1222</v>
      </c>
    </row>
    <row r="397" spans="1:7" x14ac:dyDescent="0.25">
      <c r="A397">
        <v>272</v>
      </c>
      <c r="B397" t="s">
        <v>278</v>
      </c>
      <c r="C397">
        <v>12</v>
      </c>
      <c r="D397">
        <v>11</v>
      </c>
      <c r="E397">
        <v>1</v>
      </c>
      <c r="F397">
        <v>10</v>
      </c>
      <c r="G397">
        <v>1693</v>
      </c>
    </row>
    <row r="398" spans="1:7" x14ac:dyDescent="0.25">
      <c r="A398">
        <v>415</v>
      </c>
      <c r="B398" t="s">
        <v>421</v>
      </c>
      <c r="C398">
        <v>16</v>
      </c>
      <c r="D398">
        <v>11</v>
      </c>
      <c r="E398">
        <v>1</v>
      </c>
      <c r="F398">
        <v>10</v>
      </c>
      <c r="G398">
        <v>0</v>
      </c>
    </row>
    <row r="399" spans="1:7" x14ac:dyDescent="0.25">
      <c r="A399">
        <v>134</v>
      </c>
      <c r="B399" t="s">
        <v>140</v>
      </c>
      <c r="C399">
        <v>17</v>
      </c>
      <c r="D399">
        <v>14</v>
      </c>
      <c r="E399">
        <v>4</v>
      </c>
      <c r="F399">
        <v>10</v>
      </c>
      <c r="G399">
        <v>3171</v>
      </c>
    </row>
    <row r="400" spans="1:7" x14ac:dyDescent="0.25">
      <c r="A400">
        <v>146</v>
      </c>
      <c r="B400" t="s">
        <v>152</v>
      </c>
      <c r="C400">
        <v>25</v>
      </c>
      <c r="D400">
        <v>14</v>
      </c>
      <c r="E400">
        <v>4</v>
      </c>
      <c r="F400">
        <v>10</v>
      </c>
      <c r="G400">
        <v>3</v>
      </c>
    </row>
    <row r="401" spans="1:7" x14ac:dyDescent="0.25">
      <c r="A401">
        <v>191</v>
      </c>
      <c r="B401" t="s">
        <v>197</v>
      </c>
      <c r="C401">
        <v>18</v>
      </c>
      <c r="D401">
        <v>14</v>
      </c>
      <c r="E401">
        <v>4</v>
      </c>
      <c r="F401">
        <v>10</v>
      </c>
      <c r="G401">
        <v>0</v>
      </c>
    </row>
    <row r="402" spans="1:7" x14ac:dyDescent="0.25">
      <c r="A402">
        <v>305</v>
      </c>
      <c r="B402" t="s">
        <v>311</v>
      </c>
      <c r="C402">
        <v>16</v>
      </c>
      <c r="D402">
        <v>14</v>
      </c>
      <c r="E402">
        <v>4</v>
      </c>
      <c r="F402">
        <v>10</v>
      </c>
      <c r="G402">
        <v>2327</v>
      </c>
    </row>
    <row r="403" spans="1:7" x14ac:dyDescent="0.25">
      <c r="A403">
        <v>174</v>
      </c>
      <c r="B403" t="s">
        <v>180</v>
      </c>
      <c r="C403">
        <v>17</v>
      </c>
      <c r="D403">
        <v>15</v>
      </c>
      <c r="E403">
        <v>5</v>
      </c>
      <c r="F403">
        <v>10</v>
      </c>
      <c r="G403">
        <v>3263</v>
      </c>
    </row>
    <row r="404" spans="1:7" x14ac:dyDescent="0.25">
      <c r="A404">
        <v>217</v>
      </c>
      <c r="B404" t="s">
        <v>223</v>
      </c>
      <c r="C404">
        <v>17</v>
      </c>
      <c r="D404">
        <v>15</v>
      </c>
      <c r="E404">
        <v>5</v>
      </c>
      <c r="F404">
        <v>10</v>
      </c>
      <c r="G404">
        <v>2259</v>
      </c>
    </row>
    <row r="405" spans="1:7" x14ac:dyDescent="0.25">
      <c r="A405">
        <v>41</v>
      </c>
      <c r="B405" t="s">
        <v>47</v>
      </c>
      <c r="C405">
        <v>13</v>
      </c>
      <c r="D405">
        <v>12</v>
      </c>
      <c r="E405">
        <v>1</v>
      </c>
      <c r="F405">
        <v>11</v>
      </c>
      <c r="G405">
        <v>3825</v>
      </c>
    </row>
    <row r="406" spans="1:7" x14ac:dyDescent="0.25">
      <c r="A406">
        <v>48</v>
      </c>
      <c r="B406" t="s">
        <v>54</v>
      </c>
      <c r="C406">
        <v>15</v>
      </c>
      <c r="D406">
        <v>13</v>
      </c>
      <c r="E406">
        <v>2</v>
      </c>
      <c r="F406">
        <v>11</v>
      </c>
      <c r="G406">
        <v>2039</v>
      </c>
    </row>
    <row r="407" spans="1:7" x14ac:dyDescent="0.25">
      <c r="A407">
        <v>80</v>
      </c>
      <c r="B407" t="s">
        <v>86</v>
      </c>
      <c r="C407">
        <v>16</v>
      </c>
      <c r="D407">
        <v>13</v>
      </c>
      <c r="E407">
        <v>2</v>
      </c>
      <c r="F407">
        <v>11</v>
      </c>
      <c r="G407">
        <v>2767</v>
      </c>
    </row>
    <row r="408" spans="1:7" x14ac:dyDescent="0.25">
      <c r="A408">
        <v>153</v>
      </c>
      <c r="B408" t="s">
        <v>159</v>
      </c>
      <c r="C408">
        <v>16</v>
      </c>
      <c r="D408">
        <v>15</v>
      </c>
      <c r="E408">
        <v>4</v>
      </c>
      <c r="F408">
        <v>11</v>
      </c>
      <c r="G408">
        <v>3124</v>
      </c>
    </row>
    <row r="409" spans="1:7" x14ac:dyDescent="0.25">
      <c r="A409">
        <v>281</v>
      </c>
      <c r="B409" t="s">
        <v>287</v>
      </c>
      <c r="C409">
        <v>18</v>
      </c>
      <c r="D409">
        <v>17</v>
      </c>
      <c r="E409">
        <v>5</v>
      </c>
      <c r="F409">
        <v>12</v>
      </c>
      <c r="G409">
        <v>2288</v>
      </c>
    </row>
    <row r="410" spans="1:7" x14ac:dyDescent="0.25">
      <c r="A410">
        <v>232</v>
      </c>
      <c r="B410" t="s">
        <v>238</v>
      </c>
      <c r="C410">
        <v>21</v>
      </c>
      <c r="D410">
        <v>20</v>
      </c>
      <c r="E410">
        <v>8</v>
      </c>
      <c r="F410">
        <v>12</v>
      </c>
      <c r="G410">
        <v>2072</v>
      </c>
    </row>
    <row r="411" spans="1:7" x14ac:dyDescent="0.25">
      <c r="A411">
        <v>57</v>
      </c>
      <c r="B411" t="s">
        <v>63</v>
      </c>
      <c r="C411">
        <v>42</v>
      </c>
      <c r="D411">
        <v>15</v>
      </c>
      <c r="E411">
        <v>2</v>
      </c>
      <c r="F411">
        <v>13</v>
      </c>
      <c r="G411">
        <v>32</v>
      </c>
    </row>
    <row r="412" spans="1:7" x14ac:dyDescent="0.25">
      <c r="A412">
        <v>71</v>
      </c>
      <c r="B412" t="s">
        <v>77</v>
      </c>
      <c r="C412">
        <v>17</v>
      </c>
      <c r="D412">
        <v>15</v>
      </c>
      <c r="E412">
        <v>2</v>
      </c>
      <c r="F412">
        <v>13</v>
      </c>
      <c r="G412">
        <v>1576</v>
      </c>
    </row>
    <row r="413" spans="1:7" x14ac:dyDescent="0.25">
      <c r="A413">
        <v>76</v>
      </c>
      <c r="B413" t="s">
        <v>82</v>
      </c>
      <c r="C413">
        <v>18</v>
      </c>
      <c r="D413">
        <v>17</v>
      </c>
      <c r="E413">
        <v>4</v>
      </c>
      <c r="F413">
        <v>13</v>
      </c>
      <c r="G413">
        <v>3</v>
      </c>
    </row>
    <row r="414" spans="1:7" x14ac:dyDescent="0.25">
      <c r="A414">
        <v>114</v>
      </c>
      <c r="B414" t="s">
        <v>120</v>
      </c>
      <c r="C414">
        <v>21</v>
      </c>
      <c r="D414">
        <v>17</v>
      </c>
      <c r="E414">
        <v>4</v>
      </c>
      <c r="F414">
        <v>13</v>
      </c>
      <c r="G414">
        <v>734</v>
      </c>
    </row>
    <row r="415" spans="1:7" x14ac:dyDescent="0.25">
      <c r="A415">
        <v>2</v>
      </c>
      <c r="B415" t="s">
        <v>8</v>
      </c>
      <c r="C415">
        <v>19</v>
      </c>
      <c r="D415">
        <v>18</v>
      </c>
      <c r="E415">
        <v>5</v>
      </c>
      <c r="F415">
        <v>13</v>
      </c>
      <c r="G415">
        <v>4215</v>
      </c>
    </row>
    <row r="416" spans="1:7" x14ac:dyDescent="0.25">
      <c r="A416">
        <v>17</v>
      </c>
      <c r="B416" t="s">
        <v>23</v>
      </c>
      <c r="C416">
        <v>24</v>
      </c>
      <c r="D416">
        <v>21</v>
      </c>
      <c r="E416">
        <v>8</v>
      </c>
      <c r="F416">
        <v>13</v>
      </c>
      <c r="G416">
        <v>4208</v>
      </c>
    </row>
    <row r="417" spans="1:7" x14ac:dyDescent="0.25">
      <c r="A417">
        <v>84</v>
      </c>
      <c r="B417" t="s">
        <v>90</v>
      </c>
      <c r="C417">
        <v>23</v>
      </c>
      <c r="D417">
        <v>21</v>
      </c>
      <c r="E417">
        <v>8</v>
      </c>
      <c r="F417">
        <v>13</v>
      </c>
      <c r="G417">
        <v>3418</v>
      </c>
    </row>
    <row r="418" spans="1:7" x14ac:dyDescent="0.25">
      <c r="A418">
        <v>416</v>
      </c>
      <c r="B418" t="s">
        <v>422</v>
      </c>
      <c r="C418">
        <v>24</v>
      </c>
      <c r="D418">
        <v>16</v>
      </c>
      <c r="E418">
        <v>2</v>
      </c>
      <c r="F418">
        <v>14</v>
      </c>
      <c r="G418">
        <v>2</v>
      </c>
    </row>
    <row r="419" spans="1:7" x14ac:dyDescent="0.25">
      <c r="A419">
        <v>88</v>
      </c>
      <c r="B419" t="s">
        <v>94</v>
      </c>
      <c r="C419">
        <v>21</v>
      </c>
      <c r="D419">
        <v>17</v>
      </c>
      <c r="E419">
        <v>2</v>
      </c>
      <c r="F419">
        <v>15</v>
      </c>
      <c r="G419">
        <v>2098</v>
      </c>
    </row>
    <row r="420" spans="1:7" x14ac:dyDescent="0.25">
      <c r="A420">
        <v>18</v>
      </c>
      <c r="B420" t="s">
        <v>24</v>
      </c>
      <c r="C420">
        <v>29</v>
      </c>
      <c r="D420">
        <v>21</v>
      </c>
      <c r="E420">
        <v>6</v>
      </c>
      <c r="F420">
        <v>15</v>
      </c>
      <c r="G420">
        <v>4431</v>
      </c>
    </row>
    <row r="421" spans="1:7" x14ac:dyDescent="0.25">
      <c r="A421">
        <v>211</v>
      </c>
      <c r="B421" t="s">
        <v>217</v>
      </c>
      <c r="C421">
        <v>29</v>
      </c>
      <c r="D421">
        <v>25</v>
      </c>
      <c r="E421">
        <v>8</v>
      </c>
      <c r="F421">
        <v>17</v>
      </c>
      <c r="G421">
        <v>2238</v>
      </c>
    </row>
    <row r="422" spans="1:7" x14ac:dyDescent="0.25">
      <c r="A422">
        <v>27</v>
      </c>
      <c r="B422" t="s">
        <v>33</v>
      </c>
      <c r="C422">
        <v>42</v>
      </c>
      <c r="D422">
        <v>40</v>
      </c>
      <c r="E422">
        <v>14</v>
      </c>
      <c r="F422">
        <v>26</v>
      </c>
      <c r="G422">
        <v>4258</v>
      </c>
    </row>
    <row r="423" spans="1:7" x14ac:dyDescent="0.25">
      <c r="A423">
        <v>28</v>
      </c>
      <c r="B423" t="s">
        <v>34</v>
      </c>
      <c r="C423">
        <v>39</v>
      </c>
      <c r="D423">
        <v>35</v>
      </c>
      <c r="E423">
        <v>8</v>
      </c>
      <c r="F423">
        <v>27</v>
      </c>
      <c r="G423">
        <v>3793</v>
      </c>
    </row>
  </sheetData>
  <sortState xmlns:xlrd2="http://schemas.microsoft.com/office/spreadsheetml/2017/richdata2" ref="A2:G425">
    <sortCondition ref="F1:F425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EA53F-3A6D-42C1-AA66-B2A5AB6DE446}">
  <dimension ref="A1:J423"/>
  <sheetViews>
    <sheetView workbookViewId="0">
      <selection activeCell="U22" sqref="U22"/>
    </sheetView>
  </sheetViews>
  <sheetFormatPr defaultRowHeight="15" x14ac:dyDescent="0.25"/>
  <cols>
    <col min="6" max="6" width="10.5703125" customWidth="1"/>
    <col min="8" max="8" width="16" customWidth="1"/>
    <col min="9" max="9" width="13.5703125" customWidth="1"/>
    <col min="10" max="10" width="15.5703125" customWidth="1"/>
    <col min="13" max="13" width="12.140625" customWidth="1"/>
    <col min="14" max="14" width="13.42578125" customWidth="1"/>
    <col min="15" max="15" width="13.85546875" customWidth="1"/>
  </cols>
  <sheetData>
    <row r="1" spans="1:10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431</v>
      </c>
      <c r="I1" t="s">
        <v>432</v>
      </c>
      <c r="J1" t="s">
        <v>433</v>
      </c>
    </row>
    <row r="2" spans="1:10" x14ac:dyDescent="0.25">
      <c r="A2">
        <v>135</v>
      </c>
      <c r="B2" t="s">
        <v>141</v>
      </c>
      <c r="C2">
        <v>2</v>
      </c>
      <c r="D2">
        <v>1</v>
      </c>
      <c r="E2">
        <v>1</v>
      </c>
      <c r="F2">
        <v>0</v>
      </c>
      <c r="G2">
        <v>0</v>
      </c>
      <c r="H2">
        <f t="shared" ref="H2:H65" si="0">G2/D2</f>
        <v>0</v>
      </c>
      <c r="I2">
        <f t="shared" ref="I2:I65" si="1">G2/E2</f>
        <v>0</v>
      </c>
      <c r="J2" t="e">
        <f t="shared" ref="J2:J65" si="2">G2/F2</f>
        <v>#DIV/0!</v>
      </c>
    </row>
    <row r="3" spans="1:10" x14ac:dyDescent="0.25">
      <c r="A3">
        <v>170</v>
      </c>
      <c r="B3" t="s">
        <v>176</v>
      </c>
      <c r="C3">
        <v>2</v>
      </c>
      <c r="D3">
        <v>1</v>
      </c>
      <c r="E3">
        <v>1</v>
      </c>
      <c r="F3">
        <v>0</v>
      </c>
      <c r="G3">
        <v>0</v>
      </c>
      <c r="H3">
        <f t="shared" si="0"/>
        <v>0</v>
      </c>
      <c r="I3">
        <f t="shared" si="1"/>
        <v>0</v>
      </c>
      <c r="J3" t="e">
        <f t="shared" si="2"/>
        <v>#DIV/0!</v>
      </c>
    </row>
    <row r="4" spans="1:10" x14ac:dyDescent="0.25">
      <c r="A4">
        <v>265</v>
      </c>
      <c r="B4" t="s">
        <v>271</v>
      </c>
      <c r="C4">
        <v>2</v>
      </c>
      <c r="D4">
        <v>1</v>
      </c>
      <c r="E4">
        <v>1</v>
      </c>
      <c r="F4">
        <v>0</v>
      </c>
      <c r="G4">
        <v>0</v>
      </c>
      <c r="H4">
        <f t="shared" si="0"/>
        <v>0</v>
      </c>
      <c r="I4">
        <f t="shared" si="1"/>
        <v>0</v>
      </c>
      <c r="J4" t="e">
        <f t="shared" si="2"/>
        <v>#DIV/0!</v>
      </c>
    </row>
    <row r="5" spans="1:10" x14ac:dyDescent="0.25">
      <c r="A5">
        <v>347</v>
      </c>
      <c r="B5" t="s">
        <v>353</v>
      </c>
      <c r="C5">
        <v>6</v>
      </c>
      <c r="D5">
        <v>1</v>
      </c>
      <c r="E5">
        <v>1</v>
      </c>
      <c r="F5">
        <v>0</v>
      </c>
      <c r="G5">
        <v>0</v>
      </c>
      <c r="H5">
        <f t="shared" si="0"/>
        <v>0</v>
      </c>
      <c r="I5">
        <f t="shared" si="1"/>
        <v>0</v>
      </c>
      <c r="J5" t="e">
        <f t="shared" si="2"/>
        <v>#DIV/0!</v>
      </c>
    </row>
    <row r="6" spans="1:10" x14ac:dyDescent="0.25">
      <c r="A6">
        <v>351</v>
      </c>
      <c r="B6" t="s">
        <v>357</v>
      </c>
      <c r="C6">
        <v>2</v>
      </c>
      <c r="D6">
        <v>1</v>
      </c>
      <c r="E6">
        <v>1</v>
      </c>
      <c r="F6">
        <v>0</v>
      </c>
      <c r="G6">
        <v>0</v>
      </c>
      <c r="H6">
        <f t="shared" si="0"/>
        <v>0</v>
      </c>
      <c r="I6">
        <f t="shared" si="1"/>
        <v>0</v>
      </c>
      <c r="J6" t="e">
        <f t="shared" si="2"/>
        <v>#DIV/0!</v>
      </c>
    </row>
    <row r="7" spans="1:10" x14ac:dyDescent="0.25">
      <c r="A7">
        <v>365</v>
      </c>
      <c r="B7" t="s">
        <v>371</v>
      </c>
      <c r="C7">
        <v>2</v>
      </c>
      <c r="D7">
        <v>1</v>
      </c>
      <c r="E7">
        <v>1</v>
      </c>
      <c r="F7">
        <v>0</v>
      </c>
      <c r="G7">
        <v>0</v>
      </c>
      <c r="H7">
        <f t="shared" si="0"/>
        <v>0</v>
      </c>
      <c r="I7">
        <f t="shared" si="1"/>
        <v>0</v>
      </c>
      <c r="J7" t="e">
        <f t="shared" si="2"/>
        <v>#DIV/0!</v>
      </c>
    </row>
    <row r="8" spans="1:10" x14ac:dyDescent="0.25">
      <c r="A8">
        <v>210</v>
      </c>
      <c r="B8" t="s">
        <v>216</v>
      </c>
      <c r="C8">
        <v>6</v>
      </c>
      <c r="D8">
        <v>2</v>
      </c>
      <c r="E8">
        <v>2</v>
      </c>
      <c r="F8">
        <v>0</v>
      </c>
      <c r="G8">
        <v>0</v>
      </c>
      <c r="H8">
        <f t="shared" si="0"/>
        <v>0</v>
      </c>
      <c r="I8">
        <f t="shared" si="1"/>
        <v>0</v>
      </c>
      <c r="J8" t="e">
        <f t="shared" si="2"/>
        <v>#DIV/0!</v>
      </c>
    </row>
    <row r="9" spans="1:10" x14ac:dyDescent="0.25">
      <c r="A9">
        <v>16</v>
      </c>
      <c r="B9" t="s">
        <v>22</v>
      </c>
      <c r="C9">
        <v>5</v>
      </c>
      <c r="D9">
        <v>3</v>
      </c>
      <c r="E9">
        <v>3</v>
      </c>
      <c r="F9">
        <v>0</v>
      </c>
      <c r="G9">
        <v>0</v>
      </c>
      <c r="H9">
        <f t="shared" si="0"/>
        <v>0</v>
      </c>
      <c r="I9">
        <f t="shared" si="1"/>
        <v>0</v>
      </c>
      <c r="J9" t="e">
        <f t="shared" si="2"/>
        <v>#DIV/0!</v>
      </c>
    </row>
    <row r="10" spans="1:10" x14ac:dyDescent="0.25">
      <c r="A10">
        <v>65</v>
      </c>
      <c r="B10" t="s">
        <v>71</v>
      </c>
      <c r="C10">
        <v>6</v>
      </c>
      <c r="D10">
        <v>1</v>
      </c>
      <c r="E10">
        <v>0</v>
      </c>
      <c r="F10">
        <v>1</v>
      </c>
      <c r="G10">
        <v>0</v>
      </c>
      <c r="H10">
        <f t="shared" si="0"/>
        <v>0</v>
      </c>
      <c r="I10" t="e">
        <f t="shared" si="1"/>
        <v>#DIV/0!</v>
      </c>
      <c r="J10">
        <f t="shared" si="2"/>
        <v>0</v>
      </c>
    </row>
    <row r="11" spans="1:10" x14ac:dyDescent="0.25">
      <c r="A11">
        <v>75</v>
      </c>
      <c r="B11" t="s">
        <v>81</v>
      </c>
      <c r="C11">
        <v>2</v>
      </c>
      <c r="D11">
        <v>1</v>
      </c>
      <c r="E11">
        <v>0</v>
      </c>
      <c r="F11">
        <v>1</v>
      </c>
      <c r="G11">
        <v>0</v>
      </c>
      <c r="H11">
        <f t="shared" si="0"/>
        <v>0</v>
      </c>
      <c r="I11" t="e">
        <f t="shared" si="1"/>
        <v>#DIV/0!</v>
      </c>
      <c r="J11">
        <f t="shared" si="2"/>
        <v>0</v>
      </c>
    </row>
    <row r="12" spans="1:10" x14ac:dyDescent="0.25">
      <c r="A12">
        <v>102</v>
      </c>
      <c r="B12" t="s">
        <v>108</v>
      </c>
      <c r="C12">
        <v>10</v>
      </c>
      <c r="D12">
        <v>1</v>
      </c>
      <c r="E12">
        <v>0</v>
      </c>
      <c r="F12">
        <v>1</v>
      </c>
      <c r="G12">
        <v>0</v>
      </c>
      <c r="H12">
        <f t="shared" si="0"/>
        <v>0</v>
      </c>
      <c r="I12" t="e">
        <f t="shared" si="1"/>
        <v>#DIV/0!</v>
      </c>
      <c r="J12">
        <f t="shared" si="2"/>
        <v>0</v>
      </c>
    </row>
    <row r="13" spans="1:10" x14ac:dyDescent="0.25">
      <c r="A13">
        <v>136</v>
      </c>
      <c r="B13" t="s">
        <v>142</v>
      </c>
      <c r="C13">
        <v>6</v>
      </c>
      <c r="D13">
        <v>1</v>
      </c>
      <c r="E13">
        <v>0</v>
      </c>
      <c r="F13">
        <v>1</v>
      </c>
      <c r="G13">
        <v>0</v>
      </c>
      <c r="H13">
        <f t="shared" si="0"/>
        <v>0</v>
      </c>
      <c r="I13" t="e">
        <f t="shared" si="1"/>
        <v>#DIV/0!</v>
      </c>
      <c r="J13">
        <f t="shared" si="2"/>
        <v>0</v>
      </c>
    </row>
    <row r="14" spans="1:10" x14ac:dyDescent="0.25">
      <c r="A14">
        <v>144</v>
      </c>
      <c r="B14" t="s">
        <v>150</v>
      </c>
      <c r="C14">
        <v>4</v>
      </c>
      <c r="D14">
        <v>1</v>
      </c>
      <c r="E14">
        <v>0</v>
      </c>
      <c r="F14">
        <v>1</v>
      </c>
      <c r="G14">
        <v>0</v>
      </c>
      <c r="H14">
        <f t="shared" si="0"/>
        <v>0</v>
      </c>
      <c r="I14" t="e">
        <f t="shared" si="1"/>
        <v>#DIV/0!</v>
      </c>
      <c r="J14">
        <f t="shared" si="2"/>
        <v>0</v>
      </c>
    </row>
    <row r="15" spans="1:10" x14ac:dyDescent="0.25">
      <c r="A15">
        <v>171</v>
      </c>
      <c r="B15" t="s">
        <v>177</v>
      </c>
      <c r="C15">
        <v>4</v>
      </c>
      <c r="D15">
        <v>1</v>
      </c>
      <c r="E15">
        <v>0</v>
      </c>
      <c r="F15">
        <v>1</v>
      </c>
      <c r="G15">
        <v>0</v>
      </c>
      <c r="H15">
        <f t="shared" si="0"/>
        <v>0</v>
      </c>
      <c r="I15" t="e">
        <f t="shared" si="1"/>
        <v>#DIV/0!</v>
      </c>
      <c r="J15">
        <f t="shared" si="2"/>
        <v>0</v>
      </c>
    </row>
    <row r="16" spans="1:10" x14ac:dyDescent="0.25">
      <c r="A16">
        <v>237</v>
      </c>
      <c r="B16" t="s">
        <v>243</v>
      </c>
      <c r="C16">
        <v>2</v>
      </c>
      <c r="D16">
        <v>1</v>
      </c>
      <c r="E16">
        <v>0</v>
      </c>
      <c r="F16">
        <v>1</v>
      </c>
      <c r="G16">
        <v>0</v>
      </c>
      <c r="H16">
        <f t="shared" si="0"/>
        <v>0</v>
      </c>
      <c r="I16" t="e">
        <f t="shared" si="1"/>
        <v>#DIV/0!</v>
      </c>
      <c r="J16">
        <f t="shared" si="2"/>
        <v>0</v>
      </c>
    </row>
    <row r="17" spans="1:10" x14ac:dyDescent="0.25">
      <c r="A17">
        <v>271</v>
      </c>
      <c r="B17" t="s">
        <v>277</v>
      </c>
      <c r="C17">
        <v>10</v>
      </c>
      <c r="D17">
        <v>1</v>
      </c>
      <c r="E17">
        <v>0</v>
      </c>
      <c r="F17">
        <v>1</v>
      </c>
      <c r="G17">
        <v>0</v>
      </c>
      <c r="H17">
        <f t="shared" si="0"/>
        <v>0</v>
      </c>
      <c r="I17" t="e">
        <f t="shared" si="1"/>
        <v>#DIV/0!</v>
      </c>
      <c r="J17">
        <f t="shared" si="2"/>
        <v>0</v>
      </c>
    </row>
    <row r="18" spans="1:10" x14ac:dyDescent="0.25">
      <c r="A18">
        <v>307</v>
      </c>
      <c r="B18" t="s">
        <v>313</v>
      </c>
      <c r="C18">
        <v>11</v>
      </c>
      <c r="D18">
        <v>1</v>
      </c>
      <c r="E18">
        <v>0</v>
      </c>
      <c r="F18">
        <v>1</v>
      </c>
      <c r="G18">
        <v>0</v>
      </c>
      <c r="H18">
        <f t="shared" si="0"/>
        <v>0</v>
      </c>
      <c r="I18" t="e">
        <f t="shared" si="1"/>
        <v>#DIV/0!</v>
      </c>
      <c r="J18">
        <f t="shared" si="2"/>
        <v>0</v>
      </c>
    </row>
    <row r="19" spans="1:10" x14ac:dyDescent="0.25">
      <c r="A19">
        <v>312</v>
      </c>
      <c r="B19" t="s">
        <v>318</v>
      </c>
      <c r="C19">
        <v>7</v>
      </c>
      <c r="D19">
        <v>1</v>
      </c>
      <c r="E19">
        <v>0</v>
      </c>
      <c r="F19">
        <v>1</v>
      </c>
      <c r="G19">
        <v>0</v>
      </c>
      <c r="H19">
        <f t="shared" si="0"/>
        <v>0</v>
      </c>
      <c r="I19" t="e">
        <f t="shared" si="1"/>
        <v>#DIV/0!</v>
      </c>
      <c r="J19">
        <f t="shared" si="2"/>
        <v>0</v>
      </c>
    </row>
    <row r="20" spans="1:10" x14ac:dyDescent="0.25">
      <c r="A20">
        <v>314</v>
      </c>
      <c r="B20" t="s">
        <v>320</v>
      </c>
      <c r="C20">
        <v>3</v>
      </c>
      <c r="D20">
        <v>1</v>
      </c>
      <c r="E20">
        <v>0</v>
      </c>
      <c r="F20">
        <v>1</v>
      </c>
      <c r="G20">
        <v>0</v>
      </c>
      <c r="H20">
        <f t="shared" si="0"/>
        <v>0</v>
      </c>
      <c r="I20" t="e">
        <f t="shared" si="1"/>
        <v>#DIV/0!</v>
      </c>
      <c r="J20">
        <f t="shared" si="2"/>
        <v>0</v>
      </c>
    </row>
    <row r="21" spans="1:10" x14ac:dyDescent="0.25">
      <c r="A21">
        <v>322</v>
      </c>
      <c r="B21" t="s">
        <v>328</v>
      </c>
      <c r="C21">
        <v>7</v>
      </c>
      <c r="D21">
        <v>1</v>
      </c>
      <c r="E21">
        <v>0</v>
      </c>
      <c r="F21">
        <v>1</v>
      </c>
      <c r="G21">
        <v>0</v>
      </c>
      <c r="H21">
        <f t="shared" si="0"/>
        <v>0</v>
      </c>
      <c r="I21" t="e">
        <f t="shared" si="1"/>
        <v>#DIV/0!</v>
      </c>
      <c r="J21">
        <f t="shared" si="2"/>
        <v>0</v>
      </c>
    </row>
    <row r="22" spans="1:10" x14ac:dyDescent="0.25">
      <c r="A22">
        <v>333</v>
      </c>
      <c r="B22" t="s">
        <v>339</v>
      </c>
      <c r="C22">
        <v>4</v>
      </c>
      <c r="D22">
        <v>1</v>
      </c>
      <c r="E22">
        <v>0</v>
      </c>
      <c r="F22">
        <v>1</v>
      </c>
      <c r="G22">
        <v>0</v>
      </c>
      <c r="H22">
        <f t="shared" si="0"/>
        <v>0</v>
      </c>
      <c r="I22" t="e">
        <f t="shared" si="1"/>
        <v>#DIV/0!</v>
      </c>
      <c r="J22">
        <f t="shared" si="2"/>
        <v>0</v>
      </c>
    </row>
    <row r="23" spans="1:10" x14ac:dyDescent="0.25">
      <c r="A23">
        <v>376</v>
      </c>
      <c r="B23" t="s">
        <v>382</v>
      </c>
      <c r="C23">
        <v>2</v>
      </c>
      <c r="D23">
        <v>1</v>
      </c>
      <c r="E23">
        <v>0</v>
      </c>
      <c r="F23">
        <v>1</v>
      </c>
      <c r="G23">
        <v>0</v>
      </c>
      <c r="H23">
        <f t="shared" si="0"/>
        <v>0</v>
      </c>
      <c r="I23" t="e">
        <f t="shared" si="1"/>
        <v>#DIV/0!</v>
      </c>
      <c r="J23">
        <f t="shared" si="2"/>
        <v>0</v>
      </c>
    </row>
    <row r="24" spans="1:10" x14ac:dyDescent="0.25">
      <c r="A24">
        <v>385</v>
      </c>
      <c r="B24" t="s">
        <v>391</v>
      </c>
      <c r="C24">
        <v>5</v>
      </c>
      <c r="D24">
        <v>1</v>
      </c>
      <c r="E24">
        <v>0</v>
      </c>
      <c r="F24">
        <v>1</v>
      </c>
      <c r="G24">
        <v>0</v>
      </c>
      <c r="H24">
        <f t="shared" si="0"/>
        <v>0</v>
      </c>
      <c r="I24" t="e">
        <f t="shared" si="1"/>
        <v>#DIV/0!</v>
      </c>
      <c r="J24">
        <f t="shared" si="2"/>
        <v>0</v>
      </c>
    </row>
    <row r="25" spans="1:10" x14ac:dyDescent="0.25">
      <c r="A25">
        <v>399</v>
      </c>
      <c r="B25" t="s">
        <v>405</v>
      </c>
      <c r="C25">
        <v>8</v>
      </c>
      <c r="D25">
        <v>1</v>
      </c>
      <c r="E25">
        <v>0</v>
      </c>
      <c r="F25">
        <v>1</v>
      </c>
      <c r="G25">
        <v>0</v>
      </c>
      <c r="H25">
        <f t="shared" si="0"/>
        <v>0</v>
      </c>
      <c r="I25" t="e">
        <f t="shared" si="1"/>
        <v>#DIV/0!</v>
      </c>
      <c r="J25">
        <f t="shared" si="2"/>
        <v>0</v>
      </c>
    </row>
    <row r="26" spans="1:10" x14ac:dyDescent="0.25">
      <c r="A26">
        <v>401</v>
      </c>
      <c r="B26" t="s">
        <v>407</v>
      </c>
      <c r="C26">
        <v>6</v>
      </c>
      <c r="D26">
        <v>1</v>
      </c>
      <c r="E26">
        <v>0</v>
      </c>
      <c r="F26">
        <v>1</v>
      </c>
      <c r="G26">
        <v>0</v>
      </c>
      <c r="H26">
        <f t="shared" si="0"/>
        <v>0</v>
      </c>
      <c r="I26" t="e">
        <f t="shared" si="1"/>
        <v>#DIV/0!</v>
      </c>
      <c r="J26">
        <f t="shared" si="2"/>
        <v>0</v>
      </c>
    </row>
    <row r="27" spans="1:10" x14ac:dyDescent="0.25">
      <c r="A27">
        <v>120</v>
      </c>
      <c r="B27" t="s">
        <v>126</v>
      </c>
      <c r="C27">
        <v>3</v>
      </c>
      <c r="D27">
        <v>2</v>
      </c>
      <c r="E27">
        <v>1</v>
      </c>
      <c r="F27">
        <v>1</v>
      </c>
      <c r="G27">
        <v>0</v>
      </c>
      <c r="H27">
        <f t="shared" si="0"/>
        <v>0</v>
      </c>
      <c r="I27">
        <f t="shared" si="1"/>
        <v>0</v>
      </c>
      <c r="J27">
        <f t="shared" si="2"/>
        <v>0</v>
      </c>
    </row>
    <row r="28" spans="1:10" x14ac:dyDescent="0.25">
      <c r="A28">
        <v>194</v>
      </c>
      <c r="B28" t="s">
        <v>200</v>
      </c>
      <c r="C28">
        <v>3</v>
      </c>
      <c r="D28">
        <v>2</v>
      </c>
      <c r="E28">
        <v>1</v>
      </c>
      <c r="F28">
        <v>1</v>
      </c>
      <c r="G28">
        <v>0</v>
      </c>
      <c r="H28">
        <f t="shared" si="0"/>
        <v>0</v>
      </c>
      <c r="I28">
        <f t="shared" si="1"/>
        <v>0</v>
      </c>
      <c r="J28">
        <f t="shared" si="2"/>
        <v>0</v>
      </c>
    </row>
    <row r="29" spans="1:10" x14ac:dyDescent="0.25">
      <c r="A29">
        <v>54</v>
      </c>
      <c r="B29" t="s">
        <v>60</v>
      </c>
      <c r="C29">
        <v>8</v>
      </c>
      <c r="D29">
        <v>2</v>
      </c>
      <c r="E29">
        <v>0</v>
      </c>
      <c r="F29">
        <v>2</v>
      </c>
      <c r="G29">
        <v>0</v>
      </c>
      <c r="H29">
        <f t="shared" si="0"/>
        <v>0</v>
      </c>
      <c r="I29" t="e">
        <f t="shared" si="1"/>
        <v>#DIV/0!</v>
      </c>
      <c r="J29">
        <f t="shared" si="2"/>
        <v>0</v>
      </c>
    </row>
    <row r="30" spans="1:10" x14ac:dyDescent="0.25">
      <c r="A30">
        <v>106</v>
      </c>
      <c r="B30" t="s">
        <v>112</v>
      </c>
      <c r="C30">
        <v>4</v>
      </c>
      <c r="D30">
        <v>2</v>
      </c>
      <c r="E30">
        <v>0</v>
      </c>
      <c r="F30">
        <v>2</v>
      </c>
      <c r="G30">
        <v>0</v>
      </c>
      <c r="H30">
        <f t="shared" si="0"/>
        <v>0</v>
      </c>
      <c r="I30" t="e">
        <f t="shared" si="1"/>
        <v>#DIV/0!</v>
      </c>
      <c r="J30">
        <f t="shared" si="2"/>
        <v>0</v>
      </c>
    </row>
    <row r="31" spans="1:10" x14ac:dyDescent="0.25">
      <c r="A31">
        <v>107</v>
      </c>
      <c r="B31" t="s">
        <v>113</v>
      </c>
      <c r="C31">
        <v>5</v>
      </c>
      <c r="D31">
        <v>2</v>
      </c>
      <c r="E31">
        <v>0</v>
      </c>
      <c r="F31">
        <v>2</v>
      </c>
      <c r="G31">
        <v>0</v>
      </c>
      <c r="H31">
        <f t="shared" si="0"/>
        <v>0</v>
      </c>
      <c r="I31" t="e">
        <f t="shared" si="1"/>
        <v>#DIV/0!</v>
      </c>
      <c r="J31">
        <f t="shared" si="2"/>
        <v>0</v>
      </c>
    </row>
    <row r="32" spans="1:10" x14ac:dyDescent="0.25">
      <c r="A32">
        <v>108</v>
      </c>
      <c r="B32" t="s">
        <v>114</v>
      </c>
      <c r="C32">
        <v>5</v>
      </c>
      <c r="D32">
        <v>2</v>
      </c>
      <c r="E32">
        <v>0</v>
      </c>
      <c r="F32">
        <v>2</v>
      </c>
      <c r="G32">
        <v>0</v>
      </c>
      <c r="H32">
        <f t="shared" si="0"/>
        <v>0</v>
      </c>
      <c r="I32" t="e">
        <f t="shared" si="1"/>
        <v>#DIV/0!</v>
      </c>
      <c r="J32">
        <f t="shared" si="2"/>
        <v>0</v>
      </c>
    </row>
    <row r="33" spans="1:10" x14ac:dyDescent="0.25">
      <c r="A33">
        <v>122</v>
      </c>
      <c r="B33" t="s">
        <v>128</v>
      </c>
      <c r="C33">
        <v>32</v>
      </c>
      <c r="D33">
        <v>2</v>
      </c>
      <c r="E33">
        <v>0</v>
      </c>
      <c r="F33">
        <v>2</v>
      </c>
      <c r="G33">
        <v>0</v>
      </c>
      <c r="H33">
        <f t="shared" si="0"/>
        <v>0</v>
      </c>
      <c r="I33" t="e">
        <f t="shared" si="1"/>
        <v>#DIV/0!</v>
      </c>
      <c r="J33">
        <f t="shared" si="2"/>
        <v>0</v>
      </c>
    </row>
    <row r="34" spans="1:10" x14ac:dyDescent="0.25">
      <c r="A34">
        <v>181</v>
      </c>
      <c r="B34" t="s">
        <v>187</v>
      </c>
      <c r="C34">
        <v>3</v>
      </c>
      <c r="D34">
        <v>2</v>
      </c>
      <c r="E34">
        <v>0</v>
      </c>
      <c r="F34">
        <v>2</v>
      </c>
      <c r="G34">
        <v>0</v>
      </c>
      <c r="H34">
        <f t="shared" si="0"/>
        <v>0</v>
      </c>
      <c r="I34" t="e">
        <f t="shared" si="1"/>
        <v>#DIV/0!</v>
      </c>
      <c r="J34">
        <f t="shared" si="2"/>
        <v>0</v>
      </c>
    </row>
    <row r="35" spans="1:10" x14ac:dyDescent="0.25">
      <c r="A35">
        <v>185</v>
      </c>
      <c r="B35" t="s">
        <v>191</v>
      </c>
      <c r="C35">
        <v>3</v>
      </c>
      <c r="D35">
        <v>2</v>
      </c>
      <c r="E35">
        <v>0</v>
      </c>
      <c r="F35">
        <v>2</v>
      </c>
      <c r="G35">
        <v>0</v>
      </c>
      <c r="H35">
        <f t="shared" si="0"/>
        <v>0</v>
      </c>
      <c r="I35" t="e">
        <f t="shared" si="1"/>
        <v>#DIV/0!</v>
      </c>
      <c r="J35">
        <f t="shared" si="2"/>
        <v>0</v>
      </c>
    </row>
    <row r="36" spans="1:10" x14ac:dyDescent="0.25">
      <c r="A36">
        <v>201</v>
      </c>
      <c r="B36" t="s">
        <v>207</v>
      </c>
      <c r="C36">
        <v>9</v>
      </c>
      <c r="D36">
        <v>2</v>
      </c>
      <c r="E36">
        <v>0</v>
      </c>
      <c r="F36">
        <v>2</v>
      </c>
      <c r="G36">
        <v>0</v>
      </c>
      <c r="H36">
        <f t="shared" si="0"/>
        <v>0</v>
      </c>
      <c r="I36" t="e">
        <f t="shared" si="1"/>
        <v>#DIV/0!</v>
      </c>
      <c r="J36">
        <f t="shared" si="2"/>
        <v>0</v>
      </c>
    </row>
    <row r="37" spans="1:10" x14ac:dyDescent="0.25">
      <c r="A37">
        <v>216</v>
      </c>
      <c r="B37" t="s">
        <v>222</v>
      </c>
      <c r="C37">
        <v>7</v>
      </c>
      <c r="D37">
        <v>2</v>
      </c>
      <c r="E37">
        <v>0</v>
      </c>
      <c r="F37">
        <v>2</v>
      </c>
      <c r="G37">
        <v>0</v>
      </c>
      <c r="H37">
        <f t="shared" si="0"/>
        <v>0</v>
      </c>
      <c r="I37" t="e">
        <f t="shared" si="1"/>
        <v>#DIV/0!</v>
      </c>
      <c r="J37">
        <f t="shared" si="2"/>
        <v>0</v>
      </c>
    </row>
    <row r="38" spans="1:10" x14ac:dyDescent="0.25">
      <c r="A38">
        <v>224</v>
      </c>
      <c r="B38" t="s">
        <v>230</v>
      </c>
      <c r="C38">
        <v>3</v>
      </c>
      <c r="D38">
        <v>2</v>
      </c>
      <c r="E38">
        <v>0</v>
      </c>
      <c r="F38">
        <v>2</v>
      </c>
      <c r="G38">
        <v>0</v>
      </c>
      <c r="H38">
        <f t="shared" si="0"/>
        <v>0</v>
      </c>
      <c r="I38" t="e">
        <f t="shared" si="1"/>
        <v>#DIV/0!</v>
      </c>
      <c r="J38">
        <f t="shared" si="2"/>
        <v>0</v>
      </c>
    </row>
    <row r="39" spans="1:10" x14ac:dyDescent="0.25">
      <c r="A39">
        <v>258</v>
      </c>
      <c r="B39" t="s">
        <v>264</v>
      </c>
      <c r="C39">
        <v>6</v>
      </c>
      <c r="D39">
        <v>2</v>
      </c>
      <c r="E39">
        <v>0</v>
      </c>
      <c r="F39">
        <v>2</v>
      </c>
      <c r="G39">
        <v>0</v>
      </c>
      <c r="H39">
        <f t="shared" si="0"/>
        <v>0</v>
      </c>
      <c r="I39" t="e">
        <f t="shared" si="1"/>
        <v>#DIV/0!</v>
      </c>
      <c r="J39">
        <f t="shared" si="2"/>
        <v>0</v>
      </c>
    </row>
    <row r="40" spans="1:10" x14ac:dyDescent="0.25">
      <c r="A40">
        <v>370</v>
      </c>
      <c r="B40" t="s">
        <v>376</v>
      </c>
      <c r="C40">
        <v>4</v>
      </c>
      <c r="D40">
        <v>2</v>
      </c>
      <c r="E40">
        <v>0</v>
      </c>
      <c r="F40">
        <v>2</v>
      </c>
      <c r="G40">
        <v>0</v>
      </c>
      <c r="H40">
        <f t="shared" si="0"/>
        <v>0</v>
      </c>
      <c r="I40" t="e">
        <f t="shared" si="1"/>
        <v>#DIV/0!</v>
      </c>
      <c r="J40">
        <f t="shared" si="2"/>
        <v>0</v>
      </c>
    </row>
    <row r="41" spans="1:10" x14ac:dyDescent="0.25">
      <c r="A41">
        <v>402</v>
      </c>
      <c r="B41" t="s">
        <v>408</v>
      </c>
      <c r="C41">
        <v>5</v>
      </c>
      <c r="D41">
        <v>2</v>
      </c>
      <c r="E41">
        <v>0</v>
      </c>
      <c r="F41">
        <v>2</v>
      </c>
      <c r="G41">
        <v>0</v>
      </c>
      <c r="H41">
        <f t="shared" si="0"/>
        <v>0</v>
      </c>
      <c r="I41" t="e">
        <f t="shared" si="1"/>
        <v>#DIV/0!</v>
      </c>
      <c r="J41">
        <f t="shared" si="2"/>
        <v>0</v>
      </c>
    </row>
    <row r="42" spans="1:10" x14ac:dyDescent="0.25">
      <c r="A42">
        <v>412</v>
      </c>
      <c r="B42" t="s">
        <v>418</v>
      </c>
      <c r="C42">
        <v>5</v>
      </c>
      <c r="D42">
        <v>2</v>
      </c>
      <c r="E42">
        <v>0</v>
      </c>
      <c r="F42">
        <v>2</v>
      </c>
      <c r="G42">
        <v>0</v>
      </c>
      <c r="H42">
        <f t="shared" si="0"/>
        <v>0</v>
      </c>
      <c r="I42" t="e">
        <f t="shared" si="1"/>
        <v>#DIV/0!</v>
      </c>
      <c r="J42">
        <f t="shared" si="2"/>
        <v>0</v>
      </c>
    </row>
    <row r="43" spans="1:10" x14ac:dyDescent="0.25">
      <c r="A43">
        <v>4</v>
      </c>
      <c r="B43" t="s">
        <v>10</v>
      </c>
      <c r="C43">
        <v>4</v>
      </c>
      <c r="D43">
        <v>3</v>
      </c>
      <c r="E43">
        <v>1</v>
      </c>
      <c r="F43">
        <v>2</v>
      </c>
      <c r="G43">
        <v>0</v>
      </c>
      <c r="H43">
        <f t="shared" si="0"/>
        <v>0</v>
      </c>
      <c r="I43">
        <f t="shared" si="1"/>
        <v>0</v>
      </c>
      <c r="J43">
        <f t="shared" si="2"/>
        <v>0</v>
      </c>
    </row>
    <row r="44" spans="1:10" x14ac:dyDescent="0.25">
      <c r="A44">
        <v>66</v>
      </c>
      <c r="B44" t="s">
        <v>72</v>
      </c>
      <c r="C44">
        <v>16</v>
      </c>
      <c r="D44">
        <v>3</v>
      </c>
      <c r="E44">
        <v>1</v>
      </c>
      <c r="F44">
        <v>2</v>
      </c>
      <c r="G44">
        <v>0</v>
      </c>
      <c r="H44">
        <f t="shared" si="0"/>
        <v>0</v>
      </c>
      <c r="I44">
        <f t="shared" si="1"/>
        <v>0</v>
      </c>
      <c r="J44">
        <f t="shared" si="2"/>
        <v>0</v>
      </c>
    </row>
    <row r="45" spans="1:10" x14ac:dyDescent="0.25">
      <c r="A45">
        <v>139</v>
      </c>
      <c r="B45" t="s">
        <v>145</v>
      </c>
      <c r="C45">
        <v>9</v>
      </c>
      <c r="D45">
        <v>3</v>
      </c>
      <c r="E45">
        <v>1</v>
      </c>
      <c r="F45">
        <v>2</v>
      </c>
      <c r="G45">
        <v>0</v>
      </c>
      <c r="H45">
        <f t="shared" si="0"/>
        <v>0</v>
      </c>
      <c r="I45">
        <f t="shared" si="1"/>
        <v>0</v>
      </c>
      <c r="J45">
        <f t="shared" si="2"/>
        <v>0</v>
      </c>
    </row>
    <row r="46" spans="1:10" x14ac:dyDescent="0.25">
      <c r="A46">
        <v>169</v>
      </c>
      <c r="B46" t="s">
        <v>175</v>
      </c>
      <c r="C46">
        <v>4</v>
      </c>
      <c r="D46">
        <v>3</v>
      </c>
      <c r="E46">
        <v>1</v>
      </c>
      <c r="F46">
        <v>2</v>
      </c>
      <c r="G46">
        <v>0</v>
      </c>
      <c r="H46">
        <f t="shared" si="0"/>
        <v>0</v>
      </c>
      <c r="I46">
        <f t="shared" si="1"/>
        <v>0</v>
      </c>
      <c r="J46">
        <f t="shared" si="2"/>
        <v>0</v>
      </c>
    </row>
    <row r="47" spans="1:10" x14ac:dyDescent="0.25">
      <c r="A47">
        <v>178</v>
      </c>
      <c r="B47" t="s">
        <v>184</v>
      </c>
      <c r="C47">
        <v>7</v>
      </c>
      <c r="D47">
        <v>3</v>
      </c>
      <c r="E47">
        <v>1</v>
      </c>
      <c r="F47">
        <v>2</v>
      </c>
      <c r="G47">
        <v>0</v>
      </c>
      <c r="H47">
        <f t="shared" si="0"/>
        <v>0</v>
      </c>
      <c r="I47">
        <f t="shared" si="1"/>
        <v>0</v>
      </c>
      <c r="J47">
        <f t="shared" si="2"/>
        <v>0</v>
      </c>
    </row>
    <row r="48" spans="1:10" x14ac:dyDescent="0.25">
      <c r="A48">
        <v>213</v>
      </c>
      <c r="B48" t="s">
        <v>219</v>
      </c>
      <c r="C48">
        <v>4</v>
      </c>
      <c r="D48">
        <v>3</v>
      </c>
      <c r="E48">
        <v>1</v>
      </c>
      <c r="F48">
        <v>2</v>
      </c>
      <c r="G48">
        <v>0</v>
      </c>
      <c r="H48">
        <f t="shared" si="0"/>
        <v>0</v>
      </c>
      <c r="I48">
        <f t="shared" si="1"/>
        <v>0</v>
      </c>
      <c r="J48">
        <f t="shared" si="2"/>
        <v>0</v>
      </c>
    </row>
    <row r="49" spans="1:10" x14ac:dyDescent="0.25">
      <c r="A49">
        <v>223</v>
      </c>
      <c r="B49" t="s">
        <v>229</v>
      </c>
      <c r="C49">
        <v>19</v>
      </c>
      <c r="D49">
        <v>3</v>
      </c>
      <c r="E49">
        <v>1</v>
      </c>
      <c r="F49">
        <v>2</v>
      </c>
      <c r="G49">
        <v>0</v>
      </c>
      <c r="H49">
        <f t="shared" si="0"/>
        <v>0</v>
      </c>
      <c r="I49">
        <f t="shared" si="1"/>
        <v>0</v>
      </c>
      <c r="J49">
        <f t="shared" si="2"/>
        <v>0</v>
      </c>
    </row>
    <row r="50" spans="1:10" x14ac:dyDescent="0.25">
      <c r="A50">
        <v>42</v>
      </c>
      <c r="B50" t="s">
        <v>48</v>
      </c>
      <c r="C50">
        <v>8</v>
      </c>
      <c r="D50">
        <v>3</v>
      </c>
      <c r="E50">
        <v>0</v>
      </c>
      <c r="F50">
        <v>3</v>
      </c>
      <c r="G50">
        <v>0</v>
      </c>
      <c r="H50">
        <f t="shared" si="0"/>
        <v>0</v>
      </c>
      <c r="I50" t="e">
        <f t="shared" si="1"/>
        <v>#DIV/0!</v>
      </c>
      <c r="J50">
        <f t="shared" si="2"/>
        <v>0</v>
      </c>
    </row>
    <row r="51" spans="1:10" x14ac:dyDescent="0.25">
      <c r="A51">
        <v>362</v>
      </c>
      <c r="B51" t="s">
        <v>368</v>
      </c>
      <c r="C51">
        <v>4</v>
      </c>
      <c r="D51">
        <v>3</v>
      </c>
      <c r="E51">
        <v>0</v>
      </c>
      <c r="F51">
        <v>3</v>
      </c>
      <c r="G51">
        <v>0</v>
      </c>
      <c r="H51">
        <f t="shared" si="0"/>
        <v>0</v>
      </c>
      <c r="I51" t="e">
        <f t="shared" si="1"/>
        <v>#DIV/0!</v>
      </c>
      <c r="J51">
        <f t="shared" si="2"/>
        <v>0</v>
      </c>
    </row>
    <row r="52" spans="1:10" x14ac:dyDescent="0.25">
      <c r="A52">
        <v>276</v>
      </c>
      <c r="B52" t="s">
        <v>282</v>
      </c>
      <c r="C52">
        <v>10</v>
      </c>
      <c r="D52">
        <v>4</v>
      </c>
      <c r="E52">
        <v>1</v>
      </c>
      <c r="F52">
        <v>3</v>
      </c>
      <c r="G52">
        <v>0</v>
      </c>
      <c r="H52">
        <f t="shared" si="0"/>
        <v>0</v>
      </c>
      <c r="I52">
        <f t="shared" si="1"/>
        <v>0</v>
      </c>
      <c r="J52">
        <f t="shared" si="2"/>
        <v>0</v>
      </c>
    </row>
    <row r="53" spans="1:10" x14ac:dyDescent="0.25">
      <c r="A53">
        <v>346</v>
      </c>
      <c r="B53" t="s">
        <v>352</v>
      </c>
      <c r="C53">
        <v>5</v>
      </c>
      <c r="D53">
        <v>4</v>
      </c>
      <c r="E53">
        <v>1</v>
      </c>
      <c r="F53">
        <v>3</v>
      </c>
      <c r="G53">
        <v>0</v>
      </c>
      <c r="H53">
        <f t="shared" si="0"/>
        <v>0</v>
      </c>
      <c r="I53">
        <f t="shared" si="1"/>
        <v>0</v>
      </c>
      <c r="J53">
        <f t="shared" si="2"/>
        <v>0</v>
      </c>
    </row>
    <row r="54" spans="1:10" x14ac:dyDescent="0.25">
      <c r="A54">
        <v>148</v>
      </c>
      <c r="B54" t="s">
        <v>154</v>
      </c>
      <c r="C54">
        <v>8</v>
      </c>
      <c r="D54">
        <v>5</v>
      </c>
      <c r="E54">
        <v>2</v>
      </c>
      <c r="F54">
        <v>3</v>
      </c>
      <c r="G54">
        <v>0</v>
      </c>
      <c r="H54">
        <f t="shared" si="0"/>
        <v>0</v>
      </c>
      <c r="I54">
        <f t="shared" si="1"/>
        <v>0</v>
      </c>
      <c r="J54">
        <f t="shared" si="2"/>
        <v>0</v>
      </c>
    </row>
    <row r="55" spans="1:10" x14ac:dyDescent="0.25">
      <c r="A55">
        <v>49</v>
      </c>
      <c r="B55" t="s">
        <v>55</v>
      </c>
      <c r="C55">
        <v>13</v>
      </c>
      <c r="D55">
        <v>4</v>
      </c>
      <c r="E55">
        <v>0</v>
      </c>
      <c r="F55">
        <v>4</v>
      </c>
      <c r="G55">
        <v>0</v>
      </c>
      <c r="H55">
        <f t="shared" si="0"/>
        <v>0</v>
      </c>
      <c r="I55" t="e">
        <f t="shared" si="1"/>
        <v>#DIV/0!</v>
      </c>
      <c r="J55">
        <f t="shared" si="2"/>
        <v>0</v>
      </c>
    </row>
    <row r="56" spans="1:10" x14ac:dyDescent="0.25">
      <c r="A56">
        <v>116</v>
      </c>
      <c r="B56" t="s">
        <v>122</v>
      </c>
      <c r="C56">
        <v>12</v>
      </c>
      <c r="D56">
        <v>4</v>
      </c>
      <c r="E56">
        <v>0</v>
      </c>
      <c r="F56">
        <v>4</v>
      </c>
      <c r="G56">
        <v>0</v>
      </c>
      <c r="H56">
        <f t="shared" si="0"/>
        <v>0</v>
      </c>
      <c r="I56" t="e">
        <f t="shared" si="1"/>
        <v>#DIV/0!</v>
      </c>
      <c r="J56">
        <f t="shared" si="2"/>
        <v>0</v>
      </c>
    </row>
    <row r="57" spans="1:10" x14ac:dyDescent="0.25">
      <c r="A57">
        <v>137</v>
      </c>
      <c r="B57" t="s">
        <v>143</v>
      </c>
      <c r="C57">
        <v>5</v>
      </c>
      <c r="D57">
        <v>4</v>
      </c>
      <c r="E57">
        <v>0</v>
      </c>
      <c r="F57">
        <v>4</v>
      </c>
      <c r="G57">
        <v>0</v>
      </c>
      <c r="H57">
        <f t="shared" si="0"/>
        <v>0</v>
      </c>
      <c r="I57" t="e">
        <f t="shared" si="1"/>
        <v>#DIV/0!</v>
      </c>
      <c r="J57">
        <f t="shared" si="2"/>
        <v>0</v>
      </c>
    </row>
    <row r="58" spans="1:10" x14ac:dyDescent="0.25">
      <c r="A58">
        <v>173</v>
      </c>
      <c r="B58" t="s">
        <v>179</v>
      </c>
      <c r="C58">
        <v>8</v>
      </c>
      <c r="D58">
        <v>4</v>
      </c>
      <c r="E58">
        <v>0</v>
      </c>
      <c r="F58">
        <v>4</v>
      </c>
      <c r="G58">
        <v>0</v>
      </c>
      <c r="H58">
        <f t="shared" si="0"/>
        <v>0</v>
      </c>
      <c r="I58" t="e">
        <f t="shared" si="1"/>
        <v>#DIV/0!</v>
      </c>
      <c r="J58">
        <f t="shared" si="2"/>
        <v>0</v>
      </c>
    </row>
    <row r="59" spans="1:10" x14ac:dyDescent="0.25">
      <c r="A59">
        <v>236</v>
      </c>
      <c r="B59" t="s">
        <v>242</v>
      </c>
      <c r="C59">
        <v>5</v>
      </c>
      <c r="D59">
        <v>4</v>
      </c>
      <c r="E59">
        <v>0</v>
      </c>
      <c r="F59">
        <v>4</v>
      </c>
      <c r="G59">
        <v>0</v>
      </c>
      <c r="H59">
        <f t="shared" si="0"/>
        <v>0</v>
      </c>
      <c r="I59" t="e">
        <f t="shared" si="1"/>
        <v>#DIV/0!</v>
      </c>
      <c r="J59">
        <f t="shared" si="2"/>
        <v>0</v>
      </c>
    </row>
    <row r="60" spans="1:10" x14ac:dyDescent="0.25">
      <c r="A60">
        <v>319</v>
      </c>
      <c r="B60" t="s">
        <v>325</v>
      </c>
      <c r="C60">
        <v>5</v>
      </c>
      <c r="D60">
        <v>4</v>
      </c>
      <c r="E60">
        <v>0</v>
      </c>
      <c r="F60">
        <v>4</v>
      </c>
      <c r="G60">
        <v>0</v>
      </c>
      <c r="H60">
        <f t="shared" si="0"/>
        <v>0</v>
      </c>
      <c r="I60" t="e">
        <f t="shared" si="1"/>
        <v>#DIV/0!</v>
      </c>
      <c r="J60">
        <f t="shared" si="2"/>
        <v>0</v>
      </c>
    </row>
    <row r="61" spans="1:10" x14ac:dyDescent="0.25">
      <c r="A61">
        <v>320</v>
      </c>
      <c r="B61" t="s">
        <v>326</v>
      </c>
      <c r="C61">
        <v>5</v>
      </c>
      <c r="D61">
        <v>4</v>
      </c>
      <c r="E61">
        <v>0</v>
      </c>
      <c r="F61">
        <v>4</v>
      </c>
      <c r="G61">
        <v>0</v>
      </c>
      <c r="H61">
        <f t="shared" si="0"/>
        <v>0</v>
      </c>
      <c r="I61" t="e">
        <f t="shared" si="1"/>
        <v>#DIV/0!</v>
      </c>
      <c r="J61">
        <f t="shared" si="2"/>
        <v>0</v>
      </c>
    </row>
    <row r="62" spans="1:10" x14ac:dyDescent="0.25">
      <c r="A62">
        <v>337</v>
      </c>
      <c r="B62" t="s">
        <v>343</v>
      </c>
      <c r="C62">
        <v>7</v>
      </c>
      <c r="D62">
        <v>4</v>
      </c>
      <c r="E62">
        <v>0</v>
      </c>
      <c r="F62">
        <v>4</v>
      </c>
      <c r="G62">
        <v>0</v>
      </c>
      <c r="H62">
        <f t="shared" si="0"/>
        <v>0</v>
      </c>
      <c r="I62" t="e">
        <f t="shared" si="1"/>
        <v>#DIV/0!</v>
      </c>
      <c r="J62">
        <f t="shared" si="2"/>
        <v>0</v>
      </c>
    </row>
    <row r="63" spans="1:10" x14ac:dyDescent="0.25">
      <c r="A63">
        <v>350</v>
      </c>
      <c r="B63" t="s">
        <v>356</v>
      </c>
      <c r="C63">
        <v>5</v>
      </c>
      <c r="D63">
        <v>4</v>
      </c>
      <c r="E63">
        <v>0</v>
      </c>
      <c r="F63">
        <v>4</v>
      </c>
      <c r="G63">
        <v>0</v>
      </c>
      <c r="H63">
        <f t="shared" si="0"/>
        <v>0</v>
      </c>
      <c r="I63" t="e">
        <f t="shared" si="1"/>
        <v>#DIV/0!</v>
      </c>
      <c r="J63">
        <f t="shared" si="2"/>
        <v>0</v>
      </c>
    </row>
    <row r="64" spans="1:10" x14ac:dyDescent="0.25">
      <c r="A64">
        <v>50</v>
      </c>
      <c r="B64" t="s">
        <v>56</v>
      </c>
      <c r="C64">
        <v>8</v>
      </c>
      <c r="D64">
        <v>6</v>
      </c>
      <c r="E64">
        <v>2</v>
      </c>
      <c r="F64">
        <v>4</v>
      </c>
      <c r="G64">
        <v>0</v>
      </c>
      <c r="H64">
        <f t="shared" si="0"/>
        <v>0</v>
      </c>
      <c r="I64">
        <f t="shared" si="1"/>
        <v>0</v>
      </c>
      <c r="J64">
        <f t="shared" si="2"/>
        <v>0</v>
      </c>
    </row>
    <row r="65" spans="1:10" x14ac:dyDescent="0.25">
      <c r="A65">
        <v>203</v>
      </c>
      <c r="B65" t="s">
        <v>209</v>
      </c>
      <c r="C65">
        <v>8</v>
      </c>
      <c r="D65">
        <v>6</v>
      </c>
      <c r="E65">
        <v>2</v>
      </c>
      <c r="F65">
        <v>4</v>
      </c>
      <c r="G65">
        <v>0</v>
      </c>
      <c r="H65">
        <f t="shared" si="0"/>
        <v>0</v>
      </c>
      <c r="I65">
        <f t="shared" si="1"/>
        <v>0</v>
      </c>
      <c r="J65">
        <f t="shared" si="2"/>
        <v>0</v>
      </c>
    </row>
    <row r="66" spans="1:10" x14ac:dyDescent="0.25">
      <c r="A66">
        <v>132</v>
      </c>
      <c r="B66" t="s">
        <v>138</v>
      </c>
      <c r="C66">
        <v>6</v>
      </c>
      <c r="D66">
        <v>5</v>
      </c>
      <c r="E66">
        <v>0</v>
      </c>
      <c r="F66">
        <v>5</v>
      </c>
      <c r="G66">
        <v>0</v>
      </c>
      <c r="H66">
        <f t="shared" ref="H66:H129" si="3">G66/D66</f>
        <v>0</v>
      </c>
      <c r="I66" t="e">
        <f t="shared" ref="I66:I129" si="4">G66/E66</f>
        <v>#DIV/0!</v>
      </c>
      <c r="J66">
        <f t="shared" ref="J66:J129" si="5">G66/F66</f>
        <v>0</v>
      </c>
    </row>
    <row r="67" spans="1:10" x14ac:dyDescent="0.25">
      <c r="A67">
        <v>219</v>
      </c>
      <c r="B67" t="s">
        <v>225</v>
      </c>
      <c r="C67">
        <v>16</v>
      </c>
      <c r="D67">
        <v>5</v>
      </c>
      <c r="E67">
        <v>0</v>
      </c>
      <c r="F67">
        <v>5</v>
      </c>
      <c r="G67">
        <v>0</v>
      </c>
      <c r="H67">
        <f t="shared" si="3"/>
        <v>0</v>
      </c>
      <c r="I67" t="e">
        <f t="shared" si="4"/>
        <v>#DIV/0!</v>
      </c>
      <c r="J67">
        <f t="shared" si="5"/>
        <v>0</v>
      </c>
    </row>
    <row r="68" spans="1:10" x14ac:dyDescent="0.25">
      <c r="A68">
        <v>222</v>
      </c>
      <c r="B68" t="s">
        <v>228</v>
      </c>
      <c r="C68">
        <v>16</v>
      </c>
      <c r="D68">
        <v>5</v>
      </c>
      <c r="E68">
        <v>0</v>
      </c>
      <c r="F68">
        <v>5</v>
      </c>
      <c r="G68">
        <v>0</v>
      </c>
      <c r="H68">
        <f t="shared" si="3"/>
        <v>0</v>
      </c>
      <c r="I68" t="e">
        <f t="shared" si="4"/>
        <v>#DIV/0!</v>
      </c>
      <c r="J68">
        <f t="shared" si="5"/>
        <v>0</v>
      </c>
    </row>
    <row r="69" spans="1:10" x14ac:dyDescent="0.25">
      <c r="A69">
        <v>291</v>
      </c>
      <c r="B69" t="s">
        <v>297</v>
      </c>
      <c r="C69">
        <v>6</v>
      </c>
      <c r="D69">
        <v>5</v>
      </c>
      <c r="E69">
        <v>0</v>
      </c>
      <c r="F69">
        <v>5</v>
      </c>
      <c r="G69">
        <v>0</v>
      </c>
      <c r="H69">
        <f t="shared" si="3"/>
        <v>0</v>
      </c>
      <c r="I69" t="e">
        <f t="shared" si="4"/>
        <v>#DIV/0!</v>
      </c>
      <c r="J69">
        <f t="shared" si="5"/>
        <v>0</v>
      </c>
    </row>
    <row r="70" spans="1:10" x14ac:dyDescent="0.25">
      <c r="A70">
        <v>297</v>
      </c>
      <c r="B70" t="s">
        <v>303</v>
      </c>
      <c r="C70">
        <v>6</v>
      </c>
      <c r="D70">
        <v>5</v>
      </c>
      <c r="E70">
        <v>0</v>
      </c>
      <c r="F70">
        <v>5</v>
      </c>
      <c r="G70">
        <v>0</v>
      </c>
      <c r="H70">
        <f t="shared" si="3"/>
        <v>0</v>
      </c>
      <c r="I70" t="e">
        <f t="shared" si="4"/>
        <v>#DIV/0!</v>
      </c>
      <c r="J70">
        <f t="shared" si="5"/>
        <v>0</v>
      </c>
    </row>
    <row r="71" spans="1:10" x14ac:dyDescent="0.25">
      <c r="A71">
        <v>311</v>
      </c>
      <c r="B71" t="s">
        <v>317</v>
      </c>
      <c r="C71">
        <v>11</v>
      </c>
      <c r="D71">
        <v>5</v>
      </c>
      <c r="E71">
        <v>0</v>
      </c>
      <c r="F71">
        <v>5</v>
      </c>
      <c r="G71">
        <v>0</v>
      </c>
      <c r="H71">
        <f t="shared" si="3"/>
        <v>0</v>
      </c>
      <c r="I71" t="e">
        <f t="shared" si="4"/>
        <v>#DIV/0!</v>
      </c>
      <c r="J71">
        <f t="shared" si="5"/>
        <v>0</v>
      </c>
    </row>
    <row r="72" spans="1:10" x14ac:dyDescent="0.25">
      <c r="A72">
        <v>332</v>
      </c>
      <c r="B72" t="s">
        <v>338</v>
      </c>
      <c r="C72">
        <v>6</v>
      </c>
      <c r="D72">
        <v>5</v>
      </c>
      <c r="E72">
        <v>0</v>
      </c>
      <c r="F72">
        <v>5</v>
      </c>
      <c r="G72">
        <v>0</v>
      </c>
      <c r="H72">
        <f t="shared" si="3"/>
        <v>0</v>
      </c>
      <c r="I72" t="e">
        <f t="shared" si="4"/>
        <v>#DIV/0!</v>
      </c>
      <c r="J72">
        <f t="shared" si="5"/>
        <v>0</v>
      </c>
    </row>
    <row r="73" spans="1:10" x14ac:dyDescent="0.25">
      <c r="A73">
        <v>377</v>
      </c>
      <c r="B73" t="s">
        <v>383</v>
      </c>
      <c r="C73">
        <v>8</v>
      </c>
      <c r="D73">
        <v>5</v>
      </c>
      <c r="E73">
        <v>0</v>
      </c>
      <c r="F73">
        <v>5</v>
      </c>
      <c r="G73">
        <v>0</v>
      </c>
      <c r="H73">
        <f t="shared" si="3"/>
        <v>0</v>
      </c>
      <c r="I73" t="e">
        <f t="shared" si="4"/>
        <v>#DIV/0!</v>
      </c>
      <c r="J73">
        <f t="shared" si="5"/>
        <v>0</v>
      </c>
    </row>
    <row r="74" spans="1:10" x14ac:dyDescent="0.25">
      <c r="A74">
        <v>129</v>
      </c>
      <c r="B74" t="s">
        <v>135</v>
      </c>
      <c r="C74">
        <v>8</v>
      </c>
      <c r="D74">
        <v>6</v>
      </c>
      <c r="E74">
        <v>1</v>
      </c>
      <c r="F74">
        <v>5</v>
      </c>
      <c r="G74">
        <v>0</v>
      </c>
      <c r="H74">
        <f t="shared" si="3"/>
        <v>0</v>
      </c>
      <c r="I74">
        <f t="shared" si="4"/>
        <v>0</v>
      </c>
      <c r="J74">
        <f t="shared" si="5"/>
        <v>0</v>
      </c>
    </row>
    <row r="75" spans="1:10" x14ac:dyDescent="0.25">
      <c r="A75">
        <v>163</v>
      </c>
      <c r="B75" t="s">
        <v>169</v>
      </c>
      <c r="C75">
        <v>8</v>
      </c>
      <c r="D75">
        <v>6</v>
      </c>
      <c r="E75">
        <v>1</v>
      </c>
      <c r="F75">
        <v>5</v>
      </c>
      <c r="G75">
        <v>0</v>
      </c>
      <c r="H75">
        <f t="shared" si="3"/>
        <v>0</v>
      </c>
      <c r="I75">
        <f t="shared" si="4"/>
        <v>0</v>
      </c>
      <c r="J75">
        <f t="shared" si="5"/>
        <v>0</v>
      </c>
    </row>
    <row r="76" spans="1:10" x14ac:dyDescent="0.25">
      <c r="A76">
        <v>199</v>
      </c>
      <c r="B76" t="s">
        <v>205</v>
      </c>
      <c r="C76">
        <v>13</v>
      </c>
      <c r="D76">
        <v>6</v>
      </c>
      <c r="E76">
        <v>1</v>
      </c>
      <c r="F76">
        <v>5</v>
      </c>
      <c r="G76">
        <v>0</v>
      </c>
      <c r="H76">
        <f t="shared" si="3"/>
        <v>0</v>
      </c>
      <c r="I76">
        <f t="shared" si="4"/>
        <v>0</v>
      </c>
      <c r="J76">
        <f t="shared" si="5"/>
        <v>0</v>
      </c>
    </row>
    <row r="77" spans="1:10" x14ac:dyDescent="0.25">
      <c r="A77">
        <v>331</v>
      </c>
      <c r="B77" t="s">
        <v>337</v>
      </c>
      <c r="C77">
        <v>7</v>
      </c>
      <c r="D77">
        <v>6</v>
      </c>
      <c r="E77">
        <v>1</v>
      </c>
      <c r="F77">
        <v>5</v>
      </c>
      <c r="G77">
        <v>0</v>
      </c>
      <c r="H77">
        <f t="shared" si="3"/>
        <v>0</v>
      </c>
      <c r="I77">
        <f t="shared" si="4"/>
        <v>0</v>
      </c>
      <c r="J77">
        <f t="shared" si="5"/>
        <v>0</v>
      </c>
    </row>
    <row r="78" spans="1:10" x14ac:dyDescent="0.25">
      <c r="A78">
        <v>103</v>
      </c>
      <c r="B78" t="s">
        <v>109</v>
      </c>
      <c r="C78">
        <v>10</v>
      </c>
      <c r="D78">
        <v>7</v>
      </c>
      <c r="E78">
        <v>2</v>
      </c>
      <c r="F78">
        <v>5</v>
      </c>
      <c r="G78">
        <v>0</v>
      </c>
      <c r="H78">
        <f t="shared" si="3"/>
        <v>0</v>
      </c>
      <c r="I78">
        <f t="shared" si="4"/>
        <v>0</v>
      </c>
      <c r="J78">
        <f t="shared" si="5"/>
        <v>0</v>
      </c>
    </row>
    <row r="79" spans="1:10" x14ac:dyDescent="0.25">
      <c r="A79">
        <v>230</v>
      </c>
      <c r="B79" t="s">
        <v>236</v>
      </c>
      <c r="C79">
        <v>8</v>
      </c>
      <c r="D79">
        <v>7</v>
      </c>
      <c r="E79">
        <v>2</v>
      </c>
      <c r="F79">
        <v>5</v>
      </c>
      <c r="G79">
        <v>0</v>
      </c>
      <c r="H79">
        <f t="shared" si="3"/>
        <v>0</v>
      </c>
      <c r="I79">
        <f t="shared" si="4"/>
        <v>0</v>
      </c>
      <c r="J79">
        <f t="shared" si="5"/>
        <v>0</v>
      </c>
    </row>
    <row r="80" spans="1:10" x14ac:dyDescent="0.25">
      <c r="A80">
        <v>105</v>
      </c>
      <c r="B80" t="s">
        <v>111</v>
      </c>
      <c r="C80">
        <v>7</v>
      </c>
      <c r="D80">
        <v>6</v>
      </c>
      <c r="E80">
        <v>0</v>
      </c>
      <c r="F80">
        <v>6</v>
      </c>
      <c r="G80">
        <v>0</v>
      </c>
      <c r="H80">
        <f t="shared" si="3"/>
        <v>0</v>
      </c>
      <c r="I80" t="e">
        <f t="shared" si="4"/>
        <v>#DIV/0!</v>
      </c>
      <c r="J80">
        <f t="shared" si="5"/>
        <v>0</v>
      </c>
    </row>
    <row r="81" spans="1:10" x14ac:dyDescent="0.25">
      <c r="A81">
        <v>121</v>
      </c>
      <c r="B81" t="s">
        <v>127</v>
      </c>
      <c r="C81">
        <v>12</v>
      </c>
      <c r="D81">
        <v>6</v>
      </c>
      <c r="E81">
        <v>0</v>
      </c>
      <c r="F81">
        <v>6</v>
      </c>
      <c r="G81">
        <v>0</v>
      </c>
      <c r="H81">
        <f t="shared" si="3"/>
        <v>0</v>
      </c>
      <c r="I81" t="e">
        <f t="shared" si="4"/>
        <v>#DIV/0!</v>
      </c>
      <c r="J81">
        <f t="shared" si="5"/>
        <v>0</v>
      </c>
    </row>
    <row r="82" spans="1:10" x14ac:dyDescent="0.25">
      <c r="A82">
        <v>131</v>
      </c>
      <c r="B82" t="s">
        <v>137</v>
      </c>
      <c r="C82">
        <v>7</v>
      </c>
      <c r="D82">
        <v>6</v>
      </c>
      <c r="E82">
        <v>0</v>
      </c>
      <c r="F82">
        <v>6</v>
      </c>
      <c r="G82">
        <v>0</v>
      </c>
      <c r="H82">
        <f t="shared" si="3"/>
        <v>0</v>
      </c>
      <c r="I82" t="e">
        <f t="shared" si="4"/>
        <v>#DIV/0!</v>
      </c>
      <c r="J82">
        <f t="shared" si="5"/>
        <v>0</v>
      </c>
    </row>
    <row r="83" spans="1:10" x14ac:dyDescent="0.25">
      <c r="A83">
        <v>188</v>
      </c>
      <c r="B83" t="s">
        <v>194</v>
      </c>
      <c r="C83">
        <v>9</v>
      </c>
      <c r="D83">
        <v>6</v>
      </c>
      <c r="E83">
        <v>0</v>
      </c>
      <c r="F83">
        <v>6</v>
      </c>
      <c r="G83">
        <v>0</v>
      </c>
      <c r="H83">
        <f t="shared" si="3"/>
        <v>0</v>
      </c>
      <c r="I83" t="e">
        <f t="shared" si="4"/>
        <v>#DIV/0!</v>
      </c>
      <c r="J83">
        <f t="shared" si="5"/>
        <v>0</v>
      </c>
    </row>
    <row r="84" spans="1:10" x14ac:dyDescent="0.25">
      <c r="A84">
        <v>327</v>
      </c>
      <c r="B84" t="s">
        <v>333</v>
      </c>
      <c r="C84">
        <v>14</v>
      </c>
      <c r="D84">
        <v>6</v>
      </c>
      <c r="E84">
        <v>0</v>
      </c>
      <c r="F84">
        <v>6</v>
      </c>
      <c r="G84">
        <v>0</v>
      </c>
      <c r="H84">
        <f t="shared" si="3"/>
        <v>0</v>
      </c>
      <c r="I84" t="e">
        <f t="shared" si="4"/>
        <v>#DIV/0!</v>
      </c>
      <c r="J84">
        <f t="shared" si="5"/>
        <v>0</v>
      </c>
    </row>
    <row r="85" spans="1:10" x14ac:dyDescent="0.25">
      <c r="A85">
        <v>156</v>
      </c>
      <c r="B85" t="s">
        <v>162</v>
      </c>
      <c r="C85">
        <v>9</v>
      </c>
      <c r="D85">
        <v>7</v>
      </c>
      <c r="E85">
        <v>0</v>
      </c>
      <c r="F85">
        <v>7</v>
      </c>
      <c r="G85">
        <v>0</v>
      </c>
      <c r="H85">
        <f t="shared" si="3"/>
        <v>0</v>
      </c>
      <c r="I85" t="e">
        <f t="shared" si="4"/>
        <v>#DIV/0!</v>
      </c>
      <c r="J85">
        <f t="shared" si="5"/>
        <v>0</v>
      </c>
    </row>
    <row r="86" spans="1:10" x14ac:dyDescent="0.25">
      <c r="A86">
        <v>179</v>
      </c>
      <c r="B86" t="s">
        <v>185</v>
      </c>
      <c r="C86">
        <v>11</v>
      </c>
      <c r="D86">
        <v>7</v>
      </c>
      <c r="E86">
        <v>0</v>
      </c>
      <c r="F86">
        <v>7</v>
      </c>
      <c r="G86">
        <v>0</v>
      </c>
      <c r="H86">
        <f t="shared" si="3"/>
        <v>0</v>
      </c>
      <c r="I86" t="e">
        <f t="shared" si="4"/>
        <v>#DIV/0!</v>
      </c>
      <c r="J86">
        <f t="shared" si="5"/>
        <v>0</v>
      </c>
    </row>
    <row r="87" spans="1:10" x14ac:dyDescent="0.25">
      <c r="A87">
        <v>193</v>
      </c>
      <c r="B87" t="s">
        <v>199</v>
      </c>
      <c r="C87">
        <v>14</v>
      </c>
      <c r="D87">
        <v>7</v>
      </c>
      <c r="E87">
        <v>0</v>
      </c>
      <c r="F87">
        <v>7</v>
      </c>
      <c r="G87">
        <v>0</v>
      </c>
      <c r="H87">
        <f t="shared" si="3"/>
        <v>0</v>
      </c>
      <c r="I87" t="e">
        <f t="shared" si="4"/>
        <v>#DIV/0!</v>
      </c>
      <c r="J87">
        <f t="shared" si="5"/>
        <v>0</v>
      </c>
    </row>
    <row r="88" spans="1:10" x14ac:dyDescent="0.25">
      <c r="A88">
        <v>388</v>
      </c>
      <c r="B88" t="s">
        <v>394</v>
      </c>
      <c r="C88">
        <v>12</v>
      </c>
      <c r="D88">
        <v>7</v>
      </c>
      <c r="E88">
        <v>0</v>
      </c>
      <c r="F88">
        <v>7</v>
      </c>
      <c r="G88">
        <v>0</v>
      </c>
      <c r="H88">
        <f t="shared" si="3"/>
        <v>0</v>
      </c>
      <c r="I88" t="e">
        <f t="shared" si="4"/>
        <v>#DIV/0!</v>
      </c>
      <c r="J88">
        <f t="shared" si="5"/>
        <v>0</v>
      </c>
    </row>
    <row r="89" spans="1:10" x14ac:dyDescent="0.25">
      <c r="A89">
        <v>22</v>
      </c>
      <c r="B89" t="s">
        <v>28</v>
      </c>
      <c r="C89">
        <v>9</v>
      </c>
      <c r="D89">
        <v>8</v>
      </c>
      <c r="E89">
        <v>1</v>
      </c>
      <c r="F89">
        <v>7</v>
      </c>
      <c r="G89">
        <v>0</v>
      </c>
      <c r="H89">
        <f t="shared" si="3"/>
        <v>0</v>
      </c>
      <c r="I89">
        <f t="shared" si="4"/>
        <v>0</v>
      </c>
      <c r="J89">
        <f t="shared" si="5"/>
        <v>0</v>
      </c>
    </row>
    <row r="90" spans="1:10" x14ac:dyDescent="0.25">
      <c r="A90">
        <v>87</v>
      </c>
      <c r="B90" t="s">
        <v>93</v>
      </c>
      <c r="C90">
        <v>9</v>
      </c>
      <c r="D90">
        <v>8</v>
      </c>
      <c r="E90">
        <v>1</v>
      </c>
      <c r="F90">
        <v>7</v>
      </c>
      <c r="G90">
        <v>0</v>
      </c>
      <c r="H90">
        <f t="shared" si="3"/>
        <v>0</v>
      </c>
      <c r="I90">
        <f t="shared" si="4"/>
        <v>0</v>
      </c>
      <c r="J90">
        <f t="shared" si="5"/>
        <v>0</v>
      </c>
    </row>
    <row r="91" spans="1:10" x14ac:dyDescent="0.25">
      <c r="A91">
        <v>400</v>
      </c>
      <c r="B91" t="s">
        <v>406</v>
      </c>
      <c r="C91">
        <v>12</v>
      </c>
      <c r="D91">
        <v>8</v>
      </c>
      <c r="E91">
        <v>1</v>
      </c>
      <c r="F91">
        <v>7</v>
      </c>
      <c r="G91">
        <v>0</v>
      </c>
      <c r="H91">
        <f t="shared" si="3"/>
        <v>0</v>
      </c>
      <c r="I91">
        <f t="shared" si="4"/>
        <v>0</v>
      </c>
      <c r="J91">
        <f t="shared" si="5"/>
        <v>0</v>
      </c>
    </row>
    <row r="92" spans="1:10" x14ac:dyDescent="0.25">
      <c r="A92">
        <v>273</v>
      </c>
      <c r="B92" t="s">
        <v>279</v>
      </c>
      <c r="C92">
        <v>12</v>
      </c>
      <c r="D92">
        <v>9</v>
      </c>
      <c r="E92">
        <v>2</v>
      </c>
      <c r="F92">
        <v>7</v>
      </c>
      <c r="G92">
        <v>0</v>
      </c>
      <c r="H92">
        <f t="shared" si="3"/>
        <v>0</v>
      </c>
      <c r="I92">
        <f t="shared" si="4"/>
        <v>0</v>
      </c>
      <c r="J92">
        <f t="shared" si="5"/>
        <v>0</v>
      </c>
    </row>
    <row r="93" spans="1:10" x14ac:dyDescent="0.25">
      <c r="A93">
        <v>303</v>
      </c>
      <c r="B93" t="s">
        <v>309</v>
      </c>
      <c r="C93">
        <v>11</v>
      </c>
      <c r="D93">
        <v>10</v>
      </c>
      <c r="E93">
        <v>0</v>
      </c>
      <c r="F93">
        <v>10</v>
      </c>
      <c r="G93">
        <v>0</v>
      </c>
      <c r="H93">
        <f t="shared" si="3"/>
        <v>0</v>
      </c>
      <c r="I93" t="e">
        <f t="shared" si="4"/>
        <v>#DIV/0!</v>
      </c>
      <c r="J93">
        <f t="shared" si="5"/>
        <v>0</v>
      </c>
    </row>
    <row r="94" spans="1:10" x14ac:dyDescent="0.25">
      <c r="A94">
        <v>415</v>
      </c>
      <c r="B94" t="s">
        <v>421</v>
      </c>
      <c r="C94">
        <v>16</v>
      </c>
      <c r="D94">
        <v>11</v>
      </c>
      <c r="E94">
        <v>1</v>
      </c>
      <c r="F94">
        <v>10</v>
      </c>
      <c r="G94">
        <v>0</v>
      </c>
      <c r="H94">
        <f t="shared" si="3"/>
        <v>0</v>
      </c>
      <c r="I94">
        <f t="shared" si="4"/>
        <v>0</v>
      </c>
      <c r="J94">
        <f t="shared" si="5"/>
        <v>0</v>
      </c>
    </row>
    <row r="95" spans="1:10" x14ac:dyDescent="0.25">
      <c r="A95">
        <v>191</v>
      </c>
      <c r="B95" t="s">
        <v>197</v>
      </c>
      <c r="C95">
        <v>18</v>
      </c>
      <c r="D95">
        <v>14</v>
      </c>
      <c r="E95">
        <v>4</v>
      </c>
      <c r="F95">
        <v>10</v>
      </c>
      <c r="G95">
        <v>0</v>
      </c>
      <c r="H95">
        <f t="shared" si="3"/>
        <v>0</v>
      </c>
      <c r="I95">
        <f t="shared" si="4"/>
        <v>0</v>
      </c>
      <c r="J95">
        <f t="shared" si="5"/>
        <v>0</v>
      </c>
    </row>
    <row r="96" spans="1:10" x14ac:dyDescent="0.25">
      <c r="A96">
        <v>0</v>
      </c>
      <c r="B96" t="s">
        <v>6</v>
      </c>
      <c r="C96">
        <v>3</v>
      </c>
      <c r="D96">
        <v>0</v>
      </c>
      <c r="E96">
        <v>0</v>
      </c>
      <c r="F96">
        <v>0</v>
      </c>
      <c r="G96">
        <v>0</v>
      </c>
      <c r="H96" t="e">
        <f t="shared" si="3"/>
        <v>#DIV/0!</v>
      </c>
      <c r="I96" t="e">
        <f t="shared" si="4"/>
        <v>#DIV/0!</v>
      </c>
      <c r="J96" t="e">
        <f t="shared" si="5"/>
        <v>#DIV/0!</v>
      </c>
    </row>
    <row r="97" spans="1:10" x14ac:dyDescent="0.25">
      <c r="A97">
        <v>3</v>
      </c>
      <c r="B97" t="s">
        <v>9</v>
      </c>
      <c r="C97">
        <v>3</v>
      </c>
      <c r="D97">
        <v>0</v>
      </c>
      <c r="E97">
        <v>0</v>
      </c>
      <c r="F97">
        <v>0</v>
      </c>
      <c r="G97">
        <v>0</v>
      </c>
      <c r="H97" t="e">
        <f t="shared" si="3"/>
        <v>#DIV/0!</v>
      </c>
      <c r="I97" t="e">
        <f t="shared" si="4"/>
        <v>#DIV/0!</v>
      </c>
      <c r="J97" t="e">
        <f t="shared" si="5"/>
        <v>#DIV/0!</v>
      </c>
    </row>
    <row r="98" spans="1:10" x14ac:dyDescent="0.25">
      <c r="A98">
        <v>11</v>
      </c>
      <c r="B98" t="s">
        <v>17</v>
      </c>
      <c r="C98">
        <v>2</v>
      </c>
      <c r="D98">
        <v>0</v>
      </c>
      <c r="E98">
        <v>0</v>
      </c>
      <c r="F98">
        <v>0</v>
      </c>
      <c r="G98">
        <v>0</v>
      </c>
      <c r="H98" t="e">
        <f t="shared" si="3"/>
        <v>#DIV/0!</v>
      </c>
      <c r="I98" t="e">
        <f t="shared" si="4"/>
        <v>#DIV/0!</v>
      </c>
      <c r="J98" t="e">
        <f t="shared" si="5"/>
        <v>#DIV/0!</v>
      </c>
    </row>
    <row r="99" spans="1:10" x14ac:dyDescent="0.25">
      <c r="A99">
        <v>30</v>
      </c>
      <c r="B99" t="s">
        <v>36</v>
      </c>
      <c r="C99">
        <v>2</v>
      </c>
      <c r="D99">
        <v>0</v>
      </c>
      <c r="E99">
        <v>0</v>
      </c>
      <c r="F99">
        <v>0</v>
      </c>
      <c r="G99">
        <v>0</v>
      </c>
      <c r="H99" t="e">
        <f t="shared" si="3"/>
        <v>#DIV/0!</v>
      </c>
      <c r="I99" t="e">
        <f t="shared" si="4"/>
        <v>#DIV/0!</v>
      </c>
      <c r="J99" t="e">
        <f t="shared" si="5"/>
        <v>#DIV/0!</v>
      </c>
    </row>
    <row r="100" spans="1:10" x14ac:dyDescent="0.25">
      <c r="A100">
        <v>46</v>
      </c>
      <c r="B100" t="s">
        <v>52</v>
      </c>
      <c r="C100">
        <v>4</v>
      </c>
      <c r="D100">
        <v>0</v>
      </c>
      <c r="E100">
        <v>0</v>
      </c>
      <c r="F100">
        <v>0</v>
      </c>
      <c r="G100">
        <v>0</v>
      </c>
      <c r="H100" t="e">
        <f t="shared" si="3"/>
        <v>#DIV/0!</v>
      </c>
      <c r="I100" t="e">
        <f t="shared" si="4"/>
        <v>#DIV/0!</v>
      </c>
      <c r="J100" t="e">
        <f t="shared" si="5"/>
        <v>#DIV/0!</v>
      </c>
    </row>
    <row r="101" spans="1:10" x14ac:dyDescent="0.25">
      <c r="A101">
        <v>60</v>
      </c>
      <c r="B101" t="s">
        <v>66</v>
      </c>
      <c r="C101">
        <v>3</v>
      </c>
      <c r="D101">
        <v>0</v>
      </c>
      <c r="E101">
        <v>0</v>
      </c>
      <c r="F101">
        <v>0</v>
      </c>
      <c r="G101">
        <v>0</v>
      </c>
      <c r="H101" t="e">
        <f t="shared" si="3"/>
        <v>#DIV/0!</v>
      </c>
      <c r="I101" t="e">
        <f t="shared" si="4"/>
        <v>#DIV/0!</v>
      </c>
      <c r="J101" t="e">
        <f t="shared" si="5"/>
        <v>#DIV/0!</v>
      </c>
    </row>
    <row r="102" spans="1:10" x14ac:dyDescent="0.25">
      <c r="A102">
        <v>95</v>
      </c>
      <c r="B102" t="s">
        <v>101</v>
      </c>
      <c r="C102">
        <v>3</v>
      </c>
      <c r="D102">
        <v>0</v>
      </c>
      <c r="E102">
        <v>0</v>
      </c>
      <c r="F102">
        <v>0</v>
      </c>
      <c r="G102">
        <v>0</v>
      </c>
      <c r="H102" t="e">
        <f t="shared" si="3"/>
        <v>#DIV/0!</v>
      </c>
      <c r="I102" t="e">
        <f t="shared" si="4"/>
        <v>#DIV/0!</v>
      </c>
      <c r="J102" t="e">
        <f t="shared" si="5"/>
        <v>#DIV/0!</v>
      </c>
    </row>
    <row r="103" spans="1:10" x14ac:dyDescent="0.25">
      <c r="A103">
        <v>96</v>
      </c>
      <c r="B103" t="s">
        <v>102</v>
      </c>
      <c r="C103">
        <v>1</v>
      </c>
      <c r="D103">
        <v>0</v>
      </c>
      <c r="E103">
        <v>0</v>
      </c>
      <c r="F103">
        <v>0</v>
      </c>
      <c r="G103">
        <v>0</v>
      </c>
      <c r="H103" t="e">
        <f t="shared" si="3"/>
        <v>#DIV/0!</v>
      </c>
      <c r="I103" t="e">
        <f t="shared" si="4"/>
        <v>#DIV/0!</v>
      </c>
      <c r="J103" t="e">
        <f t="shared" si="5"/>
        <v>#DIV/0!</v>
      </c>
    </row>
    <row r="104" spans="1:10" x14ac:dyDescent="0.25">
      <c r="A104">
        <v>110</v>
      </c>
      <c r="B104" t="s">
        <v>116</v>
      </c>
      <c r="C104">
        <v>6</v>
      </c>
      <c r="D104">
        <v>0</v>
      </c>
      <c r="E104">
        <v>0</v>
      </c>
      <c r="F104">
        <v>0</v>
      </c>
      <c r="G104">
        <v>0</v>
      </c>
      <c r="H104" t="e">
        <f t="shared" si="3"/>
        <v>#DIV/0!</v>
      </c>
      <c r="I104" t="e">
        <f t="shared" si="4"/>
        <v>#DIV/0!</v>
      </c>
      <c r="J104" t="e">
        <f t="shared" si="5"/>
        <v>#DIV/0!</v>
      </c>
    </row>
    <row r="105" spans="1:10" x14ac:dyDescent="0.25">
      <c r="A105">
        <v>138</v>
      </c>
      <c r="B105" t="s">
        <v>144</v>
      </c>
      <c r="C105">
        <v>1</v>
      </c>
      <c r="D105">
        <v>0</v>
      </c>
      <c r="E105">
        <v>0</v>
      </c>
      <c r="F105">
        <v>0</v>
      </c>
      <c r="G105">
        <v>0</v>
      </c>
      <c r="H105" t="e">
        <f t="shared" si="3"/>
        <v>#DIV/0!</v>
      </c>
      <c r="I105" t="e">
        <f t="shared" si="4"/>
        <v>#DIV/0!</v>
      </c>
      <c r="J105" t="e">
        <f t="shared" si="5"/>
        <v>#DIV/0!</v>
      </c>
    </row>
    <row r="106" spans="1:10" x14ac:dyDescent="0.25">
      <c r="A106">
        <v>162</v>
      </c>
      <c r="B106" t="s">
        <v>168</v>
      </c>
      <c r="C106">
        <v>6</v>
      </c>
      <c r="D106">
        <v>0</v>
      </c>
      <c r="E106">
        <v>0</v>
      </c>
      <c r="F106">
        <v>0</v>
      </c>
      <c r="G106">
        <v>0</v>
      </c>
      <c r="H106" t="e">
        <f t="shared" si="3"/>
        <v>#DIV/0!</v>
      </c>
      <c r="I106" t="e">
        <f t="shared" si="4"/>
        <v>#DIV/0!</v>
      </c>
      <c r="J106" t="e">
        <f t="shared" si="5"/>
        <v>#DIV/0!</v>
      </c>
    </row>
    <row r="107" spans="1:10" x14ac:dyDescent="0.25">
      <c r="A107">
        <v>180</v>
      </c>
      <c r="B107" t="s">
        <v>186</v>
      </c>
      <c r="C107">
        <v>6</v>
      </c>
      <c r="D107">
        <v>0</v>
      </c>
      <c r="E107">
        <v>0</v>
      </c>
      <c r="F107">
        <v>0</v>
      </c>
      <c r="G107">
        <v>0</v>
      </c>
      <c r="H107" t="e">
        <f t="shared" si="3"/>
        <v>#DIV/0!</v>
      </c>
      <c r="I107" t="e">
        <f t="shared" si="4"/>
        <v>#DIV/0!</v>
      </c>
      <c r="J107" t="e">
        <f t="shared" si="5"/>
        <v>#DIV/0!</v>
      </c>
    </row>
    <row r="108" spans="1:10" x14ac:dyDescent="0.25">
      <c r="A108">
        <v>184</v>
      </c>
      <c r="B108" t="s">
        <v>190</v>
      </c>
      <c r="C108">
        <v>7</v>
      </c>
      <c r="D108">
        <v>0</v>
      </c>
      <c r="E108">
        <v>0</v>
      </c>
      <c r="F108">
        <v>0</v>
      </c>
      <c r="G108">
        <v>0</v>
      </c>
      <c r="H108" t="e">
        <f t="shared" si="3"/>
        <v>#DIV/0!</v>
      </c>
      <c r="I108" t="e">
        <f t="shared" si="4"/>
        <v>#DIV/0!</v>
      </c>
      <c r="J108" t="e">
        <f t="shared" si="5"/>
        <v>#DIV/0!</v>
      </c>
    </row>
    <row r="109" spans="1:10" x14ac:dyDescent="0.25">
      <c r="A109">
        <v>196</v>
      </c>
      <c r="B109" t="s">
        <v>202</v>
      </c>
      <c r="C109">
        <v>5</v>
      </c>
      <c r="D109">
        <v>0</v>
      </c>
      <c r="E109">
        <v>0</v>
      </c>
      <c r="F109">
        <v>0</v>
      </c>
      <c r="G109">
        <v>0</v>
      </c>
      <c r="H109" t="e">
        <f t="shared" si="3"/>
        <v>#DIV/0!</v>
      </c>
      <c r="I109" t="e">
        <f t="shared" si="4"/>
        <v>#DIV/0!</v>
      </c>
      <c r="J109" t="e">
        <f t="shared" si="5"/>
        <v>#DIV/0!</v>
      </c>
    </row>
    <row r="110" spans="1:10" x14ac:dyDescent="0.25">
      <c r="A110">
        <v>202</v>
      </c>
      <c r="B110" t="s">
        <v>208</v>
      </c>
      <c r="C110">
        <v>1</v>
      </c>
      <c r="D110">
        <v>0</v>
      </c>
      <c r="E110">
        <v>0</v>
      </c>
      <c r="F110">
        <v>0</v>
      </c>
      <c r="G110">
        <v>0</v>
      </c>
      <c r="H110" t="e">
        <f t="shared" si="3"/>
        <v>#DIV/0!</v>
      </c>
      <c r="I110" t="e">
        <f t="shared" si="4"/>
        <v>#DIV/0!</v>
      </c>
      <c r="J110" t="e">
        <f t="shared" si="5"/>
        <v>#DIV/0!</v>
      </c>
    </row>
    <row r="111" spans="1:10" x14ac:dyDescent="0.25">
      <c r="A111">
        <v>231</v>
      </c>
      <c r="B111" t="s">
        <v>237</v>
      </c>
      <c r="C111">
        <v>1</v>
      </c>
      <c r="D111">
        <v>0</v>
      </c>
      <c r="E111">
        <v>0</v>
      </c>
      <c r="F111">
        <v>0</v>
      </c>
      <c r="G111">
        <v>0</v>
      </c>
      <c r="H111" t="e">
        <f t="shared" si="3"/>
        <v>#DIV/0!</v>
      </c>
      <c r="I111" t="e">
        <f t="shared" si="4"/>
        <v>#DIV/0!</v>
      </c>
      <c r="J111" t="e">
        <f t="shared" si="5"/>
        <v>#DIV/0!</v>
      </c>
    </row>
    <row r="112" spans="1:10" x14ac:dyDescent="0.25">
      <c r="A112">
        <v>235</v>
      </c>
      <c r="B112" t="s">
        <v>241</v>
      </c>
      <c r="C112">
        <v>10</v>
      </c>
      <c r="D112">
        <v>0</v>
      </c>
      <c r="E112">
        <v>0</v>
      </c>
      <c r="F112">
        <v>0</v>
      </c>
      <c r="G112">
        <v>0</v>
      </c>
      <c r="H112" t="e">
        <f t="shared" si="3"/>
        <v>#DIV/0!</v>
      </c>
      <c r="I112" t="e">
        <f t="shared" si="4"/>
        <v>#DIV/0!</v>
      </c>
      <c r="J112" t="e">
        <f t="shared" si="5"/>
        <v>#DIV/0!</v>
      </c>
    </row>
    <row r="113" spans="1:10" x14ac:dyDescent="0.25">
      <c r="A113">
        <v>243</v>
      </c>
      <c r="B113" t="s">
        <v>249</v>
      </c>
      <c r="C113">
        <v>3</v>
      </c>
      <c r="D113">
        <v>0</v>
      </c>
      <c r="E113">
        <v>0</v>
      </c>
      <c r="F113">
        <v>0</v>
      </c>
      <c r="G113">
        <v>0</v>
      </c>
      <c r="H113" t="e">
        <f t="shared" si="3"/>
        <v>#DIV/0!</v>
      </c>
      <c r="I113" t="e">
        <f t="shared" si="4"/>
        <v>#DIV/0!</v>
      </c>
      <c r="J113" t="e">
        <f t="shared" si="5"/>
        <v>#DIV/0!</v>
      </c>
    </row>
    <row r="114" spans="1:10" x14ac:dyDescent="0.25">
      <c r="A114">
        <v>253</v>
      </c>
      <c r="B114" t="s">
        <v>259</v>
      </c>
      <c r="C114">
        <v>2</v>
      </c>
      <c r="D114">
        <v>0</v>
      </c>
      <c r="E114">
        <v>0</v>
      </c>
      <c r="F114">
        <v>0</v>
      </c>
      <c r="G114">
        <v>0</v>
      </c>
      <c r="H114" t="e">
        <f t="shared" si="3"/>
        <v>#DIV/0!</v>
      </c>
      <c r="I114" t="e">
        <f t="shared" si="4"/>
        <v>#DIV/0!</v>
      </c>
      <c r="J114" t="e">
        <f t="shared" si="5"/>
        <v>#DIV/0!</v>
      </c>
    </row>
    <row r="115" spans="1:10" x14ac:dyDescent="0.25">
      <c r="A115">
        <v>279</v>
      </c>
      <c r="B115" t="s">
        <v>285</v>
      </c>
      <c r="C115">
        <v>12</v>
      </c>
      <c r="D115">
        <v>0</v>
      </c>
      <c r="E115">
        <v>0</v>
      </c>
      <c r="F115">
        <v>0</v>
      </c>
      <c r="G115">
        <v>0</v>
      </c>
      <c r="H115" t="e">
        <f t="shared" si="3"/>
        <v>#DIV/0!</v>
      </c>
      <c r="I115" t="e">
        <f t="shared" si="4"/>
        <v>#DIV/0!</v>
      </c>
      <c r="J115" t="e">
        <f t="shared" si="5"/>
        <v>#DIV/0!</v>
      </c>
    </row>
    <row r="116" spans="1:10" x14ac:dyDescent="0.25">
      <c r="A116">
        <v>290</v>
      </c>
      <c r="B116" t="s">
        <v>296</v>
      </c>
      <c r="C116">
        <v>2</v>
      </c>
      <c r="D116">
        <v>0</v>
      </c>
      <c r="E116">
        <v>0</v>
      </c>
      <c r="F116">
        <v>0</v>
      </c>
      <c r="G116">
        <v>0</v>
      </c>
      <c r="H116" t="e">
        <f t="shared" si="3"/>
        <v>#DIV/0!</v>
      </c>
      <c r="I116" t="e">
        <f t="shared" si="4"/>
        <v>#DIV/0!</v>
      </c>
      <c r="J116" t="e">
        <f t="shared" si="5"/>
        <v>#DIV/0!</v>
      </c>
    </row>
    <row r="117" spans="1:10" x14ac:dyDescent="0.25">
      <c r="A117">
        <v>299</v>
      </c>
      <c r="B117" t="s">
        <v>305</v>
      </c>
      <c r="C117">
        <v>1</v>
      </c>
      <c r="D117">
        <v>0</v>
      </c>
      <c r="E117">
        <v>0</v>
      </c>
      <c r="F117">
        <v>0</v>
      </c>
      <c r="G117">
        <v>0</v>
      </c>
      <c r="H117" t="e">
        <f t="shared" si="3"/>
        <v>#DIV/0!</v>
      </c>
      <c r="I117" t="e">
        <f t="shared" si="4"/>
        <v>#DIV/0!</v>
      </c>
      <c r="J117" t="e">
        <f t="shared" si="5"/>
        <v>#DIV/0!</v>
      </c>
    </row>
    <row r="118" spans="1:10" x14ac:dyDescent="0.25">
      <c r="A118">
        <v>301</v>
      </c>
      <c r="B118" t="s">
        <v>307</v>
      </c>
      <c r="C118">
        <v>3</v>
      </c>
      <c r="D118">
        <v>0</v>
      </c>
      <c r="E118">
        <v>0</v>
      </c>
      <c r="F118">
        <v>0</v>
      </c>
      <c r="G118">
        <v>0</v>
      </c>
      <c r="H118" t="e">
        <f t="shared" si="3"/>
        <v>#DIV/0!</v>
      </c>
      <c r="I118" t="e">
        <f t="shared" si="4"/>
        <v>#DIV/0!</v>
      </c>
      <c r="J118" t="e">
        <f t="shared" si="5"/>
        <v>#DIV/0!</v>
      </c>
    </row>
    <row r="119" spans="1:10" x14ac:dyDescent="0.25">
      <c r="A119">
        <v>302</v>
      </c>
      <c r="B119" t="s">
        <v>308</v>
      </c>
      <c r="C119">
        <v>1</v>
      </c>
      <c r="D119">
        <v>0</v>
      </c>
      <c r="E119">
        <v>0</v>
      </c>
      <c r="F119">
        <v>0</v>
      </c>
      <c r="G119">
        <v>0</v>
      </c>
      <c r="H119" t="e">
        <f t="shared" si="3"/>
        <v>#DIV/0!</v>
      </c>
      <c r="I119" t="e">
        <f t="shared" si="4"/>
        <v>#DIV/0!</v>
      </c>
      <c r="J119" t="e">
        <f t="shared" si="5"/>
        <v>#DIV/0!</v>
      </c>
    </row>
    <row r="120" spans="1:10" x14ac:dyDescent="0.25">
      <c r="A120">
        <v>318</v>
      </c>
      <c r="B120" t="s">
        <v>324</v>
      </c>
      <c r="C120">
        <v>7</v>
      </c>
      <c r="D120">
        <v>0</v>
      </c>
      <c r="E120">
        <v>0</v>
      </c>
      <c r="F120">
        <v>0</v>
      </c>
      <c r="G120">
        <v>0</v>
      </c>
      <c r="H120" t="e">
        <f t="shared" si="3"/>
        <v>#DIV/0!</v>
      </c>
      <c r="I120" t="e">
        <f t="shared" si="4"/>
        <v>#DIV/0!</v>
      </c>
      <c r="J120" t="e">
        <f t="shared" si="5"/>
        <v>#DIV/0!</v>
      </c>
    </row>
    <row r="121" spans="1:10" x14ac:dyDescent="0.25">
      <c r="A121">
        <v>321</v>
      </c>
      <c r="B121" t="s">
        <v>327</v>
      </c>
      <c r="C121">
        <v>1</v>
      </c>
      <c r="D121">
        <v>0</v>
      </c>
      <c r="E121">
        <v>0</v>
      </c>
      <c r="F121">
        <v>0</v>
      </c>
      <c r="G121">
        <v>0</v>
      </c>
      <c r="H121" t="e">
        <f t="shared" si="3"/>
        <v>#DIV/0!</v>
      </c>
      <c r="I121" t="e">
        <f t="shared" si="4"/>
        <v>#DIV/0!</v>
      </c>
      <c r="J121" t="e">
        <f t="shared" si="5"/>
        <v>#DIV/0!</v>
      </c>
    </row>
    <row r="122" spans="1:10" x14ac:dyDescent="0.25">
      <c r="A122">
        <v>329</v>
      </c>
      <c r="B122" t="s">
        <v>335</v>
      </c>
      <c r="C122">
        <v>3</v>
      </c>
      <c r="D122">
        <v>0</v>
      </c>
      <c r="E122">
        <v>0</v>
      </c>
      <c r="F122">
        <v>0</v>
      </c>
      <c r="G122">
        <v>0</v>
      </c>
      <c r="H122" t="e">
        <f t="shared" si="3"/>
        <v>#DIV/0!</v>
      </c>
      <c r="I122" t="e">
        <f t="shared" si="4"/>
        <v>#DIV/0!</v>
      </c>
      <c r="J122" t="e">
        <f t="shared" si="5"/>
        <v>#DIV/0!</v>
      </c>
    </row>
    <row r="123" spans="1:10" x14ac:dyDescent="0.25">
      <c r="A123">
        <v>341</v>
      </c>
      <c r="B123" t="s">
        <v>347</v>
      </c>
      <c r="C123">
        <v>1</v>
      </c>
      <c r="D123">
        <v>0</v>
      </c>
      <c r="E123">
        <v>0</v>
      </c>
      <c r="F123">
        <v>0</v>
      </c>
      <c r="G123">
        <v>0</v>
      </c>
      <c r="H123" t="e">
        <f t="shared" si="3"/>
        <v>#DIV/0!</v>
      </c>
      <c r="I123" t="e">
        <f t="shared" si="4"/>
        <v>#DIV/0!</v>
      </c>
      <c r="J123" t="e">
        <f t="shared" si="5"/>
        <v>#DIV/0!</v>
      </c>
    </row>
    <row r="124" spans="1:10" x14ac:dyDescent="0.25">
      <c r="A124">
        <v>345</v>
      </c>
      <c r="B124" t="s">
        <v>351</v>
      </c>
      <c r="C124">
        <v>1</v>
      </c>
      <c r="D124">
        <v>0</v>
      </c>
      <c r="E124">
        <v>0</v>
      </c>
      <c r="F124">
        <v>0</v>
      </c>
      <c r="G124">
        <v>0</v>
      </c>
      <c r="H124" t="e">
        <f t="shared" si="3"/>
        <v>#DIV/0!</v>
      </c>
      <c r="I124" t="e">
        <f t="shared" si="4"/>
        <v>#DIV/0!</v>
      </c>
      <c r="J124" t="e">
        <f t="shared" si="5"/>
        <v>#DIV/0!</v>
      </c>
    </row>
    <row r="125" spans="1:10" x14ac:dyDescent="0.25">
      <c r="A125">
        <v>353</v>
      </c>
      <c r="B125" t="s">
        <v>359</v>
      </c>
      <c r="C125">
        <v>4</v>
      </c>
      <c r="D125">
        <v>0</v>
      </c>
      <c r="E125">
        <v>0</v>
      </c>
      <c r="F125">
        <v>0</v>
      </c>
      <c r="G125">
        <v>0</v>
      </c>
      <c r="H125" t="e">
        <f t="shared" si="3"/>
        <v>#DIV/0!</v>
      </c>
      <c r="I125" t="e">
        <f t="shared" si="4"/>
        <v>#DIV/0!</v>
      </c>
      <c r="J125" t="e">
        <f t="shared" si="5"/>
        <v>#DIV/0!</v>
      </c>
    </row>
    <row r="126" spans="1:10" x14ac:dyDescent="0.25">
      <c r="A126">
        <v>358</v>
      </c>
      <c r="B126" t="s">
        <v>364</v>
      </c>
      <c r="C126">
        <v>8</v>
      </c>
      <c r="D126">
        <v>0</v>
      </c>
      <c r="E126">
        <v>0</v>
      </c>
      <c r="F126">
        <v>0</v>
      </c>
      <c r="G126">
        <v>0</v>
      </c>
      <c r="H126" t="e">
        <f t="shared" si="3"/>
        <v>#DIV/0!</v>
      </c>
      <c r="I126" t="e">
        <f t="shared" si="4"/>
        <v>#DIV/0!</v>
      </c>
      <c r="J126" t="e">
        <f t="shared" si="5"/>
        <v>#DIV/0!</v>
      </c>
    </row>
    <row r="127" spans="1:10" x14ac:dyDescent="0.25">
      <c r="A127">
        <v>359</v>
      </c>
      <c r="B127" t="s">
        <v>365</v>
      </c>
      <c r="C127">
        <v>3</v>
      </c>
      <c r="D127">
        <v>0</v>
      </c>
      <c r="E127">
        <v>0</v>
      </c>
      <c r="F127">
        <v>0</v>
      </c>
      <c r="G127">
        <v>0</v>
      </c>
      <c r="H127" t="e">
        <f t="shared" si="3"/>
        <v>#DIV/0!</v>
      </c>
      <c r="I127" t="e">
        <f t="shared" si="4"/>
        <v>#DIV/0!</v>
      </c>
      <c r="J127" t="e">
        <f t="shared" si="5"/>
        <v>#DIV/0!</v>
      </c>
    </row>
    <row r="128" spans="1:10" x14ac:dyDescent="0.25">
      <c r="A128">
        <v>367</v>
      </c>
      <c r="B128" t="s">
        <v>373</v>
      </c>
      <c r="C128">
        <v>6</v>
      </c>
      <c r="D128">
        <v>0</v>
      </c>
      <c r="E128">
        <v>0</v>
      </c>
      <c r="F128">
        <v>0</v>
      </c>
      <c r="G128">
        <v>0</v>
      </c>
      <c r="H128" t="e">
        <f t="shared" si="3"/>
        <v>#DIV/0!</v>
      </c>
      <c r="I128" t="e">
        <f t="shared" si="4"/>
        <v>#DIV/0!</v>
      </c>
      <c r="J128" t="e">
        <f t="shared" si="5"/>
        <v>#DIV/0!</v>
      </c>
    </row>
    <row r="129" spans="1:10" x14ac:dyDescent="0.25">
      <c r="A129">
        <v>368</v>
      </c>
      <c r="B129" t="s">
        <v>374</v>
      </c>
      <c r="C129">
        <v>5</v>
      </c>
      <c r="D129">
        <v>0</v>
      </c>
      <c r="E129">
        <v>0</v>
      </c>
      <c r="F129">
        <v>0</v>
      </c>
      <c r="G129">
        <v>0</v>
      </c>
      <c r="H129" t="e">
        <f t="shared" si="3"/>
        <v>#DIV/0!</v>
      </c>
      <c r="I129" t="e">
        <f t="shared" si="4"/>
        <v>#DIV/0!</v>
      </c>
      <c r="J129" t="e">
        <f t="shared" si="5"/>
        <v>#DIV/0!</v>
      </c>
    </row>
    <row r="130" spans="1:10" x14ac:dyDescent="0.25">
      <c r="A130">
        <v>371</v>
      </c>
      <c r="B130" t="s">
        <v>377</v>
      </c>
      <c r="C130">
        <v>3</v>
      </c>
      <c r="D130">
        <v>0</v>
      </c>
      <c r="E130">
        <v>0</v>
      </c>
      <c r="F130">
        <v>0</v>
      </c>
      <c r="G130">
        <v>0</v>
      </c>
      <c r="H130" t="e">
        <f t="shared" ref="H130:H193" si="6">G130/D130</f>
        <v>#DIV/0!</v>
      </c>
      <c r="I130" t="e">
        <f t="shared" ref="I130:I193" si="7">G130/E130</f>
        <v>#DIV/0!</v>
      </c>
      <c r="J130" t="e">
        <f t="shared" ref="J130:J193" si="8">G130/F130</f>
        <v>#DIV/0!</v>
      </c>
    </row>
    <row r="131" spans="1:10" x14ac:dyDescent="0.25">
      <c r="A131">
        <v>375</v>
      </c>
      <c r="B131" t="s">
        <v>381</v>
      </c>
      <c r="C131">
        <v>1</v>
      </c>
      <c r="D131">
        <v>0</v>
      </c>
      <c r="E131">
        <v>0</v>
      </c>
      <c r="F131">
        <v>0</v>
      </c>
      <c r="G131">
        <v>0</v>
      </c>
      <c r="H131" t="e">
        <f t="shared" si="6"/>
        <v>#DIV/0!</v>
      </c>
      <c r="I131" t="e">
        <f t="shared" si="7"/>
        <v>#DIV/0!</v>
      </c>
      <c r="J131" t="e">
        <f t="shared" si="8"/>
        <v>#DIV/0!</v>
      </c>
    </row>
    <row r="132" spans="1:10" x14ac:dyDescent="0.25">
      <c r="A132">
        <v>383</v>
      </c>
      <c r="B132" t="s">
        <v>389</v>
      </c>
      <c r="C132">
        <v>5</v>
      </c>
      <c r="D132">
        <v>0</v>
      </c>
      <c r="E132">
        <v>0</v>
      </c>
      <c r="F132">
        <v>0</v>
      </c>
      <c r="G132">
        <v>0</v>
      </c>
      <c r="H132" t="e">
        <f t="shared" si="6"/>
        <v>#DIV/0!</v>
      </c>
      <c r="I132" t="e">
        <f t="shared" si="7"/>
        <v>#DIV/0!</v>
      </c>
      <c r="J132" t="e">
        <f t="shared" si="8"/>
        <v>#DIV/0!</v>
      </c>
    </row>
    <row r="133" spans="1:10" x14ac:dyDescent="0.25">
      <c r="A133">
        <v>391</v>
      </c>
      <c r="B133" t="s">
        <v>397</v>
      </c>
      <c r="C133">
        <v>6</v>
      </c>
      <c r="D133">
        <v>0</v>
      </c>
      <c r="E133">
        <v>0</v>
      </c>
      <c r="F133">
        <v>0</v>
      </c>
      <c r="G133">
        <v>0</v>
      </c>
      <c r="H133" t="e">
        <f t="shared" si="6"/>
        <v>#DIV/0!</v>
      </c>
      <c r="I133" t="e">
        <f t="shared" si="7"/>
        <v>#DIV/0!</v>
      </c>
      <c r="J133" t="e">
        <f t="shared" si="8"/>
        <v>#DIV/0!</v>
      </c>
    </row>
    <row r="134" spans="1:10" x14ac:dyDescent="0.25">
      <c r="A134">
        <v>395</v>
      </c>
      <c r="B134" t="s">
        <v>401</v>
      </c>
      <c r="C134">
        <v>5</v>
      </c>
      <c r="D134">
        <v>0</v>
      </c>
      <c r="E134">
        <v>0</v>
      </c>
      <c r="F134">
        <v>0</v>
      </c>
      <c r="G134">
        <v>0</v>
      </c>
      <c r="H134" t="e">
        <f t="shared" si="6"/>
        <v>#DIV/0!</v>
      </c>
      <c r="I134" t="e">
        <f t="shared" si="7"/>
        <v>#DIV/0!</v>
      </c>
      <c r="J134" t="e">
        <f t="shared" si="8"/>
        <v>#DIV/0!</v>
      </c>
    </row>
    <row r="135" spans="1:10" x14ac:dyDescent="0.25">
      <c r="A135">
        <v>407</v>
      </c>
      <c r="B135" t="s">
        <v>413</v>
      </c>
      <c r="C135">
        <v>3</v>
      </c>
      <c r="D135">
        <v>0</v>
      </c>
      <c r="E135">
        <v>0</v>
      </c>
      <c r="F135">
        <v>0</v>
      </c>
      <c r="G135">
        <v>0</v>
      </c>
      <c r="H135" t="e">
        <f t="shared" si="6"/>
        <v>#DIV/0!</v>
      </c>
      <c r="I135" t="e">
        <f t="shared" si="7"/>
        <v>#DIV/0!</v>
      </c>
      <c r="J135" t="e">
        <f t="shared" si="8"/>
        <v>#DIV/0!</v>
      </c>
    </row>
    <row r="136" spans="1:10" x14ac:dyDescent="0.25">
      <c r="A136">
        <v>414</v>
      </c>
      <c r="B136" t="s">
        <v>420</v>
      </c>
      <c r="C136">
        <v>1</v>
      </c>
      <c r="D136">
        <v>0</v>
      </c>
      <c r="E136">
        <v>0</v>
      </c>
      <c r="F136">
        <v>0</v>
      </c>
      <c r="G136">
        <v>0</v>
      </c>
      <c r="H136" t="e">
        <f t="shared" si="6"/>
        <v>#DIV/0!</v>
      </c>
      <c r="I136" t="e">
        <f t="shared" si="7"/>
        <v>#DIV/0!</v>
      </c>
      <c r="J136" t="e">
        <f t="shared" si="8"/>
        <v>#DIV/0!</v>
      </c>
    </row>
    <row r="137" spans="1:10" x14ac:dyDescent="0.25">
      <c r="A137">
        <v>330</v>
      </c>
      <c r="B137" t="s">
        <v>336</v>
      </c>
      <c r="C137">
        <v>24</v>
      </c>
      <c r="D137">
        <v>10</v>
      </c>
      <c r="E137">
        <v>1</v>
      </c>
      <c r="F137">
        <v>9</v>
      </c>
      <c r="G137">
        <v>1</v>
      </c>
      <c r="H137">
        <f t="shared" si="6"/>
        <v>0.1</v>
      </c>
      <c r="I137">
        <f t="shared" si="7"/>
        <v>1</v>
      </c>
      <c r="J137">
        <f t="shared" si="8"/>
        <v>0.1111111111111111</v>
      </c>
    </row>
    <row r="138" spans="1:10" x14ac:dyDescent="0.25">
      <c r="A138">
        <v>149</v>
      </c>
      <c r="B138" t="s">
        <v>155</v>
      </c>
      <c r="C138">
        <v>10</v>
      </c>
      <c r="D138">
        <v>4</v>
      </c>
      <c r="E138">
        <v>0</v>
      </c>
      <c r="F138">
        <v>4</v>
      </c>
      <c r="G138">
        <v>1</v>
      </c>
      <c r="H138">
        <f t="shared" si="6"/>
        <v>0.25</v>
      </c>
      <c r="I138" t="e">
        <f t="shared" si="7"/>
        <v>#DIV/0!</v>
      </c>
      <c r="J138">
        <f t="shared" si="8"/>
        <v>0.25</v>
      </c>
    </row>
    <row r="139" spans="1:10" x14ac:dyDescent="0.25">
      <c r="A139">
        <v>53</v>
      </c>
      <c r="B139" t="s">
        <v>59</v>
      </c>
      <c r="C139">
        <v>7</v>
      </c>
      <c r="D139">
        <v>3</v>
      </c>
      <c r="E139">
        <v>0</v>
      </c>
      <c r="F139">
        <v>3</v>
      </c>
      <c r="G139">
        <v>1</v>
      </c>
      <c r="H139">
        <f t="shared" si="6"/>
        <v>0.33333333333333331</v>
      </c>
      <c r="I139" t="e">
        <f t="shared" si="7"/>
        <v>#DIV/0!</v>
      </c>
      <c r="J139">
        <f t="shared" si="8"/>
        <v>0.33333333333333331</v>
      </c>
    </row>
    <row r="140" spans="1:10" x14ac:dyDescent="0.25">
      <c r="A140">
        <v>229</v>
      </c>
      <c r="B140" t="s">
        <v>235</v>
      </c>
      <c r="C140">
        <v>6</v>
      </c>
      <c r="D140">
        <v>3</v>
      </c>
      <c r="E140">
        <v>0</v>
      </c>
      <c r="F140">
        <v>3</v>
      </c>
      <c r="G140">
        <v>1</v>
      </c>
      <c r="H140">
        <f t="shared" si="6"/>
        <v>0.33333333333333331</v>
      </c>
      <c r="I140" t="e">
        <f t="shared" si="7"/>
        <v>#DIV/0!</v>
      </c>
      <c r="J140">
        <f t="shared" si="8"/>
        <v>0.33333333333333331</v>
      </c>
    </row>
    <row r="141" spans="1:10" x14ac:dyDescent="0.25">
      <c r="A141">
        <v>270</v>
      </c>
      <c r="B141" t="s">
        <v>276</v>
      </c>
      <c r="C141">
        <v>13</v>
      </c>
      <c r="D141">
        <v>3</v>
      </c>
      <c r="E141">
        <v>0</v>
      </c>
      <c r="F141">
        <v>3</v>
      </c>
      <c r="G141">
        <v>1</v>
      </c>
      <c r="H141">
        <f t="shared" si="6"/>
        <v>0.33333333333333331</v>
      </c>
      <c r="I141" t="e">
        <f t="shared" si="7"/>
        <v>#DIV/0!</v>
      </c>
      <c r="J141">
        <f t="shared" si="8"/>
        <v>0.33333333333333331</v>
      </c>
    </row>
    <row r="142" spans="1:10" x14ac:dyDescent="0.25">
      <c r="A142">
        <v>288</v>
      </c>
      <c r="B142" t="s">
        <v>294</v>
      </c>
      <c r="C142">
        <v>3</v>
      </c>
      <c r="D142">
        <v>2</v>
      </c>
      <c r="E142">
        <v>0</v>
      </c>
      <c r="F142">
        <v>2</v>
      </c>
      <c r="G142">
        <v>1</v>
      </c>
      <c r="H142">
        <f t="shared" si="6"/>
        <v>0.5</v>
      </c>
      <c r="I142" t="e">
        <f t="shared" si="7"/>
        <v>#DIV/0!</v>
      </c>
      <c r="J142">
        <f t="shared" si="8"/>
        <v>0.5</v>
      </c>
    </row>
    <row r="143" spans="1:10" x14ac:dyDescent="0.25">
      <c r="A143">
        <v>317</v>
      </c>
      <c r="B143" t="s">
        <v>323</v>
      </c>
      <c r="C143">
        <v>3</v>
      </c>
      <c r="D143">
        <v>2</v>
      </c>
      <c r="E143">
        <v>0</v>
      </c>
      <c r="F143">
        <v>2</v>
      </c>
      <c r="G143">
        <v>1</v>
      </c>
      <c r="H143">
        <f t="shared" si="6"/>
        <v>0.5</v>
      </c>
      <c r="I143" t="e">
        <f t="shared" si="7"/>
        <v>#DIV/0!</v>
      </c>
      <c r="J143">
        <f t="shared" si="8"/>
        <v>0.5</v>
      </c>
    </row>
    <row r="144" spans="1:10" x14ac:dyDescent="0.25">
      <c r="A144">
        <v>356</v>
      </c>
      <c r="B144" t="s">
        <v>362</v>
      </c>
      <c r="C144">
        <v>9</v>
      </c>
      <c r="D144">
        <v>1</v>
      </c>
      <c r="E144">
        <v>1</v>
      </c>
      <c r="F144">
        <v>0</v>
      </c>
      <c r="G144">
        <v>1</v>
      </c>
      <c r="H144">
        <f t="shared" si="6"/>
        <v>1</v>
      </c>
      <c r="I144">
        <f t="shared" si="7"/>
        <v>1</v>
      </c>
      <c r="J144" t="e">
        <f t="shared" si="8"/>
        <v>#DIV/0!</v>
      </c>
    </row>
    <row r="145" spans="1:10" x14ac:dyDescent="0.25">
      <c r="A145">
        <v>111</v>
      </c>
      <c r="B145" t="s">
        <v>117</v>
      </c>
      <c r="C145">
        <v>7</v>
      </c>
      <c r="D145">
        <v>1</v>
      </c>
      <c r="E145">
        <v>0</v>
      </c>
      <c r="F145">
        <v>1</v>
      </c>
      <c r="G145">
        <v>1</v>
      </c>
      <c r="H145">
        <f t="shared" si="6"/>
        <v>1</v>
      </c>
      <c r="I145" t="e">
        <f t="shared" si="7"/>
        <v>#DIV/0!</v>
      </c>
      <c r="J145">
        <f t="shared" si="8"/>
        <v>1</v>
      </c>
    </row>
    <row r="146" spans="1:10" x14ac:dyDescent="0.25">
      <c r="A146">
        <v>164</v>
      </c>
      <c r="B146" t="s">
        <v>170</v>
      </c>
      <c r="C146">
        <v>2</v>
      </c>
      <c r="D146">
        <v>1</v>
      </c>
      <c r="E146">
        <v>0</v>
      </c>
      <c r="F146">
        <v>1</v>
      </c>
      <c r="G146">
        <v>1</v>
      </c>
      <c r="H146">
        <f t="shared" si="6"/>
        <v>1</v>
      </c>
      <c r="I146" t="e">
        <f t="shared" si="7"/>
        <v>#DIV/0!</v>
      </c>
      <c r="J146">
        <f t="shared" si="8"/>
        <v>1</v>
      </c>
    </row>
    <row r="147" spans="1:10" x14ac:dyDescent="0.25">
      <c r="A147">
        <v>416</v>
      </c>
      <c r="B147" t="s">
        <v>422</v>
      </c>
      <c r="C147">
        <v>24</v>
      </c>
      <c r="D147">
        <v>16</v>
      </c>
      <c r="E147">
        <v>2</v>
      </c>
      <c r="F147">
        <v>14</v>
      </c>
      <c r="G147">
        <v>2</v>
      </c>
      <c r="H147">
        <f t="shared" si="6"/>
        <v>0.125</v>
      </c>
      <c r="I147">
        <f t="shared" si="7"/>
        <v>1</v>
      </c>
      <c r="J147">
        <f t="shared" si="8"/>
        <v>0.14285714285714285</v>
      </c>
    </row>
    <row r="148" spans="1:10" x14ac:dyDescent="0.25">
      <c r="A148">
        <v>118</v>
      </c>
      <c r="B148" t="s">
        <v>124</v>
      </c>
      <c r="C148">
        <v>9</v>
      </c>
      <c r="D148">
        <v>7</v>
      </c>
      <c r="E148">
        <v>1</v>
      </c>
      <c r="F148">
        <v>6</v>
      </c>
      <c r="G148">
        <v>2</v>
      </c>
      <c r="H148">
        <f t="shared" si="6"/>
        <v>0.2857142857142857</v>
      </c>
      <c r="I148">
        <f t="shared" si="7"/>
        <v>2</v>
      </c>
      <c r="J148">
        <f t="shared" si="8"/>
        <v>0.33333333333333331</v>
      </c>
    </row>
    <row r="149" spans="1:10" x14ac:dyDescent="0.25">
      <c r="A149">
        <v>389</v>
      </c>
      <c r="B149" t="s">
        <v>395</v>
      </c>
      <c r="C149">
        <v>7</v>
      </c>
      <c r="D149">
        <v>6</v>
      </c>
      <c r="E149">
        <v>0</v>
      </c>
      <c r="F149">
        <v>6</v>
      </c>
      <c r="G149">
        <v>2</v>
      </c>
      <c r="H149">
        <f t="shared" si="6"/>
        <v>0.33333333333333331</v>
      </c>
      <c r="I149" t="e">
        <f t="shared" si="7"/>
        <v>#DIV/0!</v>
      </c>
      <c r="J149">
        <f t="shared" si="8"/>
        <v>0.33333333333333331</v>
      </c>
    </row>
    <row r="150" spans="1:10" x14ac:dyDescent="0.25">
      <c r="A150">
        <v>112</v>
      </c>
      <c r="B150" t="s">
        <v>118</v>
      </c>
      <c r="C150">
        <v>5</v>
      </c>
      <c r="D150">
        <v>4</v>
      </c>
      <c r="E150">
        <v>0</v>
      </c>
      <c r="F150">
        <v>4</v>
      </c>
      <c r="G150">
        <v>2</v>
      </c>
      <c r="H150">
        <f t="shared" si="6"/>
        <v>0.5</v>
      </c>
      <c r="I150" t="e">
        <f t="shared" si="7"/>
        <v>#DIV/0!</v>
      </c>
      <c r="J150">
        <f t="shared" si="8"/>
        <v>0.5</v>
      </c>
    </row>
    <row r="151" spans="1:10" x14ac:dyDescent="0.25">
      <c r="A151">
        <v>37</v>
      </c>
      <c r="B151" t="s">
        <v>43</v>
      </c>
      <c r="C151">
        <v>5</v>
      </c>
      <c r="D151">
        <v>1</v>
      </c>
      <c r="E151">
        <v>1</v>
      </c>
      <c r="F151">
        <v>0</v>
      </c>
      <c r="G151">
        <v>2</v>
      </c>
      <c r="H151">
        <f t="shared" si="6"/>
        <v>2</v>
      </c>
      <c r="I151">
        <f t="shared" si="7"/>
        <v>2</v>
      </c>
      <c r="J151" t="e">
        <f t="shared" si="8"/>
        <v>#DIV/0!</v>
      </c>
    </row>
    <row r="152" spans="1:10" x14ac:dyDescent="0.25">
      <c r="A152">
        <v>76</v>
      </c>
      <c r="B152" t="s">
        <v>82</v>
      </c>
      <c r="C152">
        <v>18</v>
      </c>
      <c r="D152">
        <v>17</v>
      </c>
      <c r="E152">
        <v>4</v>
      </c>
      <c r="F152">
        <v>13</v>
      </c>
      <c r="G152">
        <v>3</v>
      </c>
      <c r="H152">
        <f t="shared" si="6"/>
        <v>0.17647058823529413</v>
      </c>
      <c r="I152">
        <f t="shared" si="7"/>
        <v>0.75</v>
      </c>
      <c r="J152">
        <f t="shared" si="8"/>
        <v>0.23076923076923078</v>
      </c>
    </row>
    <row r="153" spans="1:10" x14ac:dyDescent="0.25">
      <c r="A153">
        <v>146</v>
      </c>
      <c r="B153" t="s">
        <v>152</v>
      </c>
      <c r="C153">
        <v>25</v>
      </c>
      <c r="D153">
        <v>14</v>
      </c>
      <c r="E153">
        <v>4</v>
      </c>
      <c r="F153">
        <v>10</v>
      </c>
      <c r="G153">
        <v>3</v>
      </c>
      <c r="H153">
        <f t="shared" si="6"/>
        <v>0.21428571428571427</v>
      </c>
      <c r="I153">
        <f t="shared" si="7"/>
        <v>0.75</v>
      </c>
      <c r="J153">
        <f t="shared" si="8"/>
        <v>0.3</v>
      </c>
    </row>
    <row r="154" spans="1:10" x14ac:dyDescent="0.25">
      <c r="A154">
        <v>101</v>
      </c>
      <c r="B154" t="s">
        <v>107</v>
      </c>
      <c r="C154">
        <v>13</v>
      </c>
      <c r="D154">
        <v>10</v>
      </c>
      <c r="E154">
        <v>2</v>
      </c>
      <c r="F154">
        <v>8</v>
      </c>
      <c r="G154">
        <v>3</v>
      </c>
      <c r="H154">
        <f t="shared" si="6"/>
        <v>0.3</v>
      </c>
      <c r="I154">
        <f t="shared" si="7"/>
        <v>1.5</v>
      </c>
      <c r="J154">
        <f t="shared" si="8"/>
        <v>0.375</v>
      </c>
    </row>
    <row r="155" spans="1:10" x14ac:dyDescent="0.25">
      <c r="A155">
        <v>334</v>
      </c>
      <c r="B155" t="s">
        <v>340</v>
      </c>
      <c r="C155">
        <v>11</v>
      </c>
      <c r="D155">
        <v>8</v>
      </c>
      <c r="E155">
        <v>0</v>
      </c>
      <c r="F155">
        <v>8</v>
      </c>
      <c r="G155">
        <v>3</v>
      </c>
      <c r="H155">
        <f t="shared" si="6"/>
        <v>0.375</v>
      </c>
      <c r="I155" t="e">
        <f t="shared" si="7"/>
        <v>#DIV/0!</v>
      </c>
      <c r="J155">
        <f t="shared" si="8"/>
        <v>0.375</v>
      </c>
    </row>
    <row r="156" spans="1:10" x14ac:dyDescent="0.25">
      <c r="A156">
        <v>419</v>
      </c>
      <c r="B156" t="s">
        <v>425</v>
      </c>
      <c r="C156">
        <v>12</v>
      </c>
      <c r="D156">
        <v>7</v>
      </c>
      <c r="E156">
        <v>0</v>
      </c>
      <c r="F156">
        <v>7</v>
      </c>
      <c r="G156">
        <v>3</v>
      </c>
      <c r="H156">
        <f t="shared" si="6"/>
        <v>0.42857142857142855</v>
      </c>
      <c r="I156" t="e">
        <f t="shared" si="7"/>
        <v>#DIV/0!</v>
      </c>
      <c r="J156">
        <f t="shared" si="8"/>
        <v>0.42857142857142855</v>
      </c>
    </row>
    <row r="157" spans="1:10" x14ac:dyDescent="0.25">
      <c r="A157">
        <v>90</v>
      </c>
      <c r="B157" t="s">
        <v>96</v>
      </c>
      <c r="C157">
        <v>11</v>
      </c>
      <c r="D157">
        <v>5</v>
      </c>
      <c r="E157">
        <v>0</v>
      </c>
      <c r="F157">
        <v>5</v>
      </c>
      <c r="G157">
        <v>3</v>
      </c>
      <c r="H157">
        <f t="shared" si="6"/>
        <v>0.6</v>
      </c>
      <c r="I157" t="e">
        <f t="shared" si="7"/>
        <v>#DIV/0!</v>
      </c>
      <c r="J157">
        <f t="shared" si="8"/>
        <v>0.6</v>
      </c>
    </row>
    <row r="158" spans="1:10" x14ac:dyDescent="0.25">
      <c r="A158">
        <v>336</v>
      </c>
      <c r="B158" t="s">
        <v>342</v>
      </c>
      <c r="C158">
        <v>7</v>
      </c>
      <c r="D158">
        <v>3</v>
      </c>
      <c r="E158">
        <v>0</v>
      </c>
      <c r="F158">
        <v>3</v>
      </c>
      <c r="G158">
        <v>3</v>
      </c>
      <c r="H158">
        <f t="shared" si="6"/>
        <v>1</v>
      </c>
      <c r="I158" t="e">
        <f t="shared" si="7"/>
        <v>#DIV/0!</v>
      </c>
      <c r="J158">
        <f t="shared" si="8"/>
        <v>1</v>
      </c>
    </row>
    <row r="159" spans="1:10" x14ac:dyDescent="0.25">
      <c r="A159">
        <v>420</v>
      </c>
      <c r="B159" t="s">
        <v>426</v>
      </c>
      <c r="C159">
        <v>10</v>
      </c>
      <c r="D159">
        <v>2</v>
      </c>
      <c r="E159">
        <v>2</v>
      </c>
      <c r="F159">
        <v>0</v>
      </c>
      <c r="G159">
        <v>3</v>
      </c>
      <c r="H159">
        <f t="shared" si="6"/>
        <v>1.5</v>
      </c>
      <c r="I159">
        <f t="shared" si="7"/>
        <v>1.5</v>
      </c>
      <c r="J159" t="e">
        <f t="shared" si="8"/>
        <v>#DIV/0!</v>
      </c>
    </row>
    <row r="160" spans="1:10" x14ac:dyDescent="0.25">
      <c r="A160">
        <v>204</v>
      </c>
      <c r="B160" t="s">
        <v>210</v>
      </c>
      <c r="C160">
        <v>4</v>
      </c>
      <c r="D160">
        <v>1</v>
      </c>
      <c r="E160">
        <v>0</v>
      </c>
      <c r="F160">
        <v>1</v>
      </c>
      <c r="G160">
        <v>3</v>
      </c>
      <c r="H160">
        <f t="shared" si="6"/>
        <v>3</v>
      </c>
      <c r="I160" t="e">
        <f t="shared" si="7"/>
        <v>#DIV/0!</v>
      </c>
      <c r="J160">
        <f t="shared" si="8"/>
        <v>3</v>
      </c>
    </row>
    <row r="161" spans="1:10" x14ac:dyDescent="0.25">
      <c r="A161">
        <v>267</v>
      </c>
      <c r="B161" t="s">
        <v>273</v>
      </c>
      <c r="C161">
        <v>14</v>
      </c>
      <c r="D161">
        <v>6</v>
      </c>
      <c r="E161">
        <v>1</v>
      </c>
      <c r="F161">
        <v>5</v>
      </c>
      <c r="G161">
        <v>4</v>
      </c>
      <c r="H161">
        <f t="shared" si="6"/>
        <v>0.66666666666666663</v>
      </c>
      <c r="I161">
        <f t="shared" si="7"/>
        <v>4</v>
      </c>
      <c r="J161">
        <f t="shared" si="8"/>
        <v>0.8</v>
      </c>
    </row>
    <row r="162" spans="1:10" x14ac:dyDescent="0.25">
      <c r="A162">
        <v>335</v>
      </c>
      <c r="B162" t="s">
        <v>341</v>
      </c>
      <c r="C162">
        <v>11</v>
      </c>
      <c r="D162">
        <v>5</v>
      </c>
      <c r="E162">
        <v>0</v>
      </c>
      <c r="F162">
        <v>5</v>
      </c>
      <c r="G162">
        <v>4</v>
      </c>
      <c r="H162">
        <f t="shared" si="6"/>
        <v>0.8</v>
      </c>
      <c r="I162" t="e">
        <f t="shared" si="7"/>
        <v>#DIV/0!</v>
      </c>
      <c r="J162">
        <f t="shared" si="8"/>
        <v>0.8</v>
      </c>
    </row>
    <row r="163" spans="1:10" x14ac:dyDescent="0.25">
      <c r="A163">
        <v>69</v>
      </c>
      <c r="B163" t="s">
        <v>75</v>
      </c>
      <c r="C163">
        <v>8</v>
      </c>
      <c r="D163">
        <v>3</v>
      </c>
      <c r="E163">
        <v>0</v>
      </c>
      <c r="F163">
        <v>3</v>
      </c>
      <c r="G163">
        <v>4</v>
      </c>
      <c r="H163">
        <f t="shared" si="6"/>
        <v>1.3333333333333333</v>
      </c>
      <c r="I163" t="e">
        <f t="shared" si="7"/>
        <v>#DIV/0!</v>
      </c>
      <c r="J163">
        <f t="shared" si="8"/>
        <v>1.3333333333333333</v>
      </c>
    </row>
    <row r="164" spans="1:10" x14ac:dyDescent="0.25">
      <c r="A164">
        <v>343</v>
      </c>
      <c r="B164" t="s">
        <v>349</v>
      </c>
      <c r="C164">
        <v>2</v>
      </c>
      <c r="D164">
        <v>1</v>
      </c>
      <c r="E164">
        <v>0</v>
      </c>
      <c r="F164">
        <v>1</v>
      </c>
      <c r="G164">
        <v>4</v>
      </c>
      <c r="H164">
        <f t="shared" si="6"/>
        <v>4</v>
      </c>
      <c r="I164" t="e">
        <f t="shared" si="7"/>
        <v>#DIV/0!</v>
      </c>
      <c r="J164">
        <f t="shared" si="8"/>
        <v>4</v>
      </c>
    </row>
    <row r="165" spans="1:10" x14ac:dyDescent="0.25">
      <c r="A165">
        <v>408</v>
      </c>
      <c r="B165" t="s">
        <v>414</v>
      </c>
      <c r="C165">
        <v>6</v>
      </c>
      <c r="D165">
        <v>4</v>
      </c>
      <c r="E165">
        <v>0</v>
      </c>
      <c r="F165">
        <v>4</v>
      </c>
      <c r="G165">
        <v>5</v>
      </c>
      <c r="H165">
        <f t="shared" si="6"/>
        <v>1.25</v>
      </c>
      <c r="I165" t="e">
        <f t="shared" si="7"/>
        <v>#DIV/0!</v>
      </c>
      <c r="J165">
        <f t="shared" si="8"/>
        <v>1.25</v>
      </c>
    </row>
    <row r="166" spans="1:10" x14ac:dyDescent="0.25">
      <c r="A166">
        <v>411</v>
      </c>
      <c r="B166" t="s">
        <v>417</v>
      </c>
      <c r="C166">
        <v>13</v>
      </c>
      <c r="D166">
        <v>4</v>
      </c>
      <c r="E166">
        <v>0</v>
      </c>
      <c r="F166">
        <v>4</v>
      </c>
      <c r="G166">
        <v>5</v>
      </c>
      <c r="H166">
        <f t="shared" si="6"/>
        <v>1.25</v>
      </c>
      <c r="I166" t="e">
        <f t="shared" si="7"/>
        <v>#DIV/0!</v>
      </c>
      <c r="J166">
        <f t="shared" si="8"/>
        <v>1.25</v>
      </c>
    </row>
    <row r="167" spans="1:10" x14ac:dyDescent="0.25">
      <c r="A167">
        <v>379</v>
      </c>
      <c r="B167" t="s">
        <v>385</v>
      </c>
      <c r="C167">
        <v>9</v>
      </c>
      <c r="D167">
        <v>3</v>
      </c>
      <c r="E167">
        <v>1</v>
      </c>
      <c r="F167">
        <v>2</v>
      </c>
      <c r="G167">
        <v>5</v>
      </c>
      <c r="H167">
        <f t="shared" si="6"/>
        <v>1.6666666666666667</v>
      </c>
      <c r="I167">
        <f t="shared" si="7"/>
        <v>5</v>
      </c>
      <c r="J167">
        <f t="shared" si="8"/>
        <v>2.5</v>
      </c>
    </row>
    <row r="168" spans="1:10" x14ac:dyDescent="0.25">
      <c r="A168">
        <v>8</v>
      </c>
      <c r="B168" t="s">
        <v>14</v>
      </c>
      <c r="C168">
        <v>9</v>
      </c>
      <c r="D168">
        <v>3</v>
      </c>
      <c r="E168">
        <v>0</v>
      </c>
      <c r="F168">
        <v>3</v>
      </c>
      <c r="G168">
        <v>5</v>
      </c>
      <c r="H168">
        <f t="shared" si="6"/>
        <v>1.6666666666666667</v>
      </c>
      <c r="I168" t="e">
        <f t="shared" si="7"/>
        <v>#DIV/0!</v>
      </c>
      <c r="J168">
        <f t="shared" si="8"/>
        <v>1.6666666666666667</v>
      </c>
    </row>
    <row r="169" spans="1:10" x14ac:dyDescent="0.25">
      <c r="A169">
        <v>325</v>
      </c>
      <c r="B169" t="s">
        <v>331</v>
      </c>
      <c r="C169">
        <v>13</v>
      </c>
      <c r="D169">
        <v>3</v>
      </c>
      <c r="E169">
        <v>0</v>
      </c>
      <c r="F169">
        <v>3</v>
      </c>
      <c r="G169">
        <v>5</v>
      </c>
      <c r="H169">
        <f t="shared" si="6"/>
        <v>1.6666666666666667</v>
      </c>
      <c r="I169" t="e">
        <f t="shared" si="7"/>
        <v>#DIV/0!</v>
      </c>
      <c r="J169">
        <f t="shared" si="8"/>
        <v>1.6666666666666667</v>
      </c>
    </row>
    <row r="170" spans="1:10" x14ac:dyDescent="0.25">
      <c r="A170">
        <v>198</v>
      </c>
      <c r="B170" t="s">
        <v>204</v>
      </c>
      <c r="C170">
        <v>8</v>
      </c>
      <c r="D170">
        <v>2</v>
      </c>
      <c r="E170">
        <v>1</v>
      </c>
      <c r="F170">
        <v>1</v>
      </c>
      <c r="G170">
        <v>5</v>
      </c>
      <c r="H170">
        <f t="shared" si="6"/>
        <v>2.5</v>
      </c>
      <c r="I170">
        <f t="shared" si="7"/>
        <v>5</v>
      </c>
      <c r="J170">
        <f t="shared" si="8"/>
        <v>5</v>
      </c>
    </row>
    <row r="171" spans="1:10" x14ac:dyDescent="0.25">
      <c r="A171">
        <v>323</v>
      </c>
      <c r="B171" t="s">
        <v>329</v>
      </c>
      <c r="C171">
        <v>3</v>
      </c>
      <c r="D171">
        <v>2</v>
      </c>
      <c r="E171">
        <v>0</v>
      </c>
      <c r="F171">
        <v>2</v>
      </c>
      <c r="G171">
        <v>5</v>
      </c>
      <c r="H171">
        <f t="shared" si="6"/>
        <v>2.5</v>
      </c>
      <c r="I171" t="e">
        <f t="shared" si="7"/>
        <v>#DIV/0!</v>
      </c>
      <c r="J171">
        <f t="shared" si="8"/>
        <v>2.5</v>
      </c>
    </row>
    <row r="172" spans="1:10" x14ac:dyDescent="0.25">
      <c r="A172">
        <v>361</v>
      </c>
      <c r="B172" t="s">
        <v>367</v>
      </c>
      <c r="C172">
        <v>6</v>
      </c>
      <c r="D172">
        <v>1</v>
      </c>
      <c r="E172">
        <v>0</v>
      </c>
      <c r="F172">
        <v>1</v>
      </c>
      <c r="G172">
        <v>5</v>
      </c>
      <c r="H172">
        <f t="shared" si="6"/>
        <v>5</v>
      </c>
      <c r="I172" t="e">
        <f t="shared" si="7"/>
        <v>#DIV/0!</v>
      </c>
      <c r="J172">
        <f t="shared" si="8"/>
        <v>5</v>
      </c>
    </row>
    <row r="173" spans="1:10" x14ac:dyDescent="0.25">
      <c r="A173">
        <v>413</v>
      </c>
      <c r="B173" t="s">
        <v>419</v>
      </c>
      <c r="C173">
        <v>18</v>
      </c>
      <c r="D173">
        <v>6</v>
      </c>
      <c r="E173">
        <v>1</v>
      </c>
      <c r="F173">
        <v>5</v>
      </c>
      <c r="G173">
        <v>6</v>
      </c>
      <c r="H173">
        <f t="shared" si="6"/>
        <v>1</v>
      </c>
      <c r="I173">
        <f t="shared" si="7"/>
        <v>6</v>
      </c>
      <c r="J173">
        <f t="shared" si="8"/>
        <v>1.2</v>
      </c>
    </row>
    <row r="174" spans="1:10" x14ac:dyDescent="0.25">
      <c r="A174">
        <v>421</v>
      </c>
      <c r="B174" t="s">
        <v>427</v>
      </c>
      <c r="C174">
        <v>6</v>
      </c>
      <c r="D174">
        <v>5</v>
      </c>
      <c r="E174">
        <v>0</v>
      </c>
      <c r="F174">
        <v>5</v>
      </c>
      <c r="G174">
        <v>6</v>
      </c>
      <c r="H174">
        <f t="shared" si="6"/>
        <v>1.2</v>
      </c>
      <c r="I174" t="e">
        <f t="shared" si="7"/>
        <v>#DIV/0!</v>
      </c>
      <c r="J174">
        <f t="shared" si="8"/>
        <v>1.2</v>
      </c>
    </row>
    <row r="175" spans="1:10" x14ac:dyDescent="0.25">
      <c r="A175">
        <v>51</v>
      </c>
      <c r="B175" t="s">
        <v>57</v>
      </c>
      <c r="C175">
        <v>7</v>
      </c>
      <c r="D175">
        <v>3</v>
      </c>
      <c r="E175">
        <v>1</v>
      </c>
      <c r="F175">
        <v>2</v>
      </c>
      <c r="G175">
        <v>6</v>
      </c>
      <c r="H175">
        <f t="shared" si="6"/>
        <v>2</v>
      </c>
      <c r="I175">
        <f t="shared" si="7"/>
        <v>6</v>
      </c>
      <c r="J175">
        <f t="shared" si="8"/>
        <v>3</v>
      </c>
    </row>
    <row r="176" spans="1:10" x14ac:dyDescent="0.25">
      <c r="A176">
        <v>381</v>
      </c>
      <c r="B176" t="s">
        <v>387</v>
      </c>
      <c r="C176">
        <v>17</v>
      </c>
      <c r="D176">
        <v>9</v>
      </c>
      <c r="E176">
        <v>2</v>
      </c>
      <c r="F176">
        <v>7</v>
      </c>
      <c r="G176">
        <v>7</v>
      </c>
      <c r="H176">
        <f t="shared" si="6"/>
        <v>0.77777777777777779</v>
      </c>
      <c r="I176">
        <f t="shared" si="7"/>
        <v>3.5</v>
      </c>
      <c r="J176">
        <f t="shared" si="8"/>
        <v>1</v>
      </c>
    </row>
    <row r="177" spans="1:10" x14ac:dyDescent="0.25">
      <c r="A177">
        <v>315</v>
      </c>
      <c r="B177" t="s">
        <v>321</v>
      </c>
      <c r="C177">
        <v>6</v>
      </c>
      <c r="D177">
        <v>5</v>
      </c>
      <c r="E177">
        <v>0</v>
      </c>
      <c r="F177">
        <v>5</v>
      </c>
      <c r="G177">
        <v>7</v>
      </c>
      <c r="H177">
        <f t="shared" si="6"/>
        <v>1.4</v>
      </c>
      <c r="I177" t="e">
        <f t="shared" si="7"/>
        <v>#DIV/0!</v>
      </c>
      <c r="J177">
        <f t="shared" si="8"/>
        <v>1.4</v>
      </c>
    </row>
    <row r="178" spans="1:10" x14ac:dyDescent="0.25">
      <c r="A178">
        <v>406</v>
      </c>
      <c r="B178" t="s">
        <v>412</v>
      </c>
      <c r="C178">
        <v>5</v>
      </c>
      <c r="D178">
        <v>2</v>
      </c>
      <c r="E178">
        <v>1</v>
      </c>
      <c r="F178">
        <v>1</v>
      </c>
      <c r="G178">
        <v>7</v>
      </c>
      <c r="H178">
        <f t="shared" si="6"/>
        <v>3.5</v>
      </c>
      <c r="I178">
        <f t="shared" si="7"/>
        <v>7</v>
      </c>
      <c r="J178">
        <f t="shared" si="8"/>
        <v>7</v>
      </c>
    </row>
    <row r="179" spans="1:10" x14ac:dyDescent="0.25">
      <c r="A179">
        <v>386</v>
      </c>
      <c r="B179" t="s">
        <v>392</v>
      </c>
      <c r="C179">
        <v>10</v>
      </c>
      <c r="D179">
        <v>5</v>
      </c>
      <c r="E179">
        <v>0</v>
      </c>
      <c r="F179">
        <v>5</v>
      </c>
      <c r="G179">
        <v>8</v>
      </c>
      <c r="H179">
        <f t="shared" si="6"/>
        <v>1.6</v>
      </c>
      <c r="I179" t="e">
        <f t="shared" si="7"/>
        <v>#DIV/0!</v>
      </c>
      <c r="J179">
        <f t="shared" si="8"/>
        <v>1.6</v>
      </c>
    </row>
    <row r="180" spans="1:10" x14ac:dyDescent="0.25">
      <c r="A180">
        <v>214</v>
      </c>
      <c r="B180" t="s">
        <v>220</v>
      </c>
      <c r="C180">
        <v>8</v>
      </c>
      <c r="D180">
        <v>1</v>
      </c>
      <c r="E180">
        <v>0</v>
      </c>
      <c r="F180">
        <v>1</v>
      </c>
      <c r="G180">
        <v>8</v>
      </c>
      <c r="H180">
        <f t="shared" si="6"/>
        <v>8</v>
      </c>
      <c r="I180" t="e">
        <f t="shared" si="7"/>
        <v>#DIV/0!</v>
      </c>
      <c r="J180">
        <f t="shared" si="8"/>
        <v>8</v>
      </c>
    </row>
    <row r="181" spans="1:10" x14ac:dyDescent="0.25">
      <c r="A181">
        <v>81</v>
      </c>
      <c r="B181" t="s">
        <v>87</v>
      </c>
      <c r="C181">
        <v>8</v>
      </c>
      <c r="D181">
        <v>7</v>
      </c>
      <c r="E181">
        <v>4</v>
      </c>
      <c r="F181">
        <v>3</v>
      </c>
      <c r="G181">
        <v>9</v>
      </c>
      <c r="H181">
        <f t="shared" si="6"/>
        <v>1.2857142857142858</v>
      </c>
      <c r="I181">
        <f t="shared" si="7"/>
        <v>2.25</v>
      </c>
      <c r="J181">
        <f t="shared" si="8"/>
        <v>3</v>
      </c>
    </row>
    <row r="182" spans="1:10" x14ac:dyDescent="0.25">
      <c r="A182">
        <v>92</v>
      </c>
      <c r="B182" t="s">
        <v>98</v>
      </c>
      <c r="C182">
        <v>4</v>
      </c>
      <c r="D182">
        <v>1</v>
      </c>
      <c r="E182">
        <v>0</v>
      </c>
      <c r="F182">
        <v>1</v>
      </c>
      <c r="G182">
        <v>9</v>
      </c>
      <c r="H182">
        <f t="shared" si="6"/>
        <v>9</v>
      </c>
      <c r="I182" t="e">
        <f t="shared" si="7"/>
        <v>#DIV/0!</v>
      </c>
      <c r="J182">
        <f t="shared" si="8"/>
        <v>9</v>
      </c>
    </row>
    <row r="183" spans="1:10" x14ac:dyDescent="0.25">
      <c r="A183">
        <v>360</v>
      </c>
      <c r="B183" t="s">
        <v>366</v>
      </c>
      <c r="C183">
        <v>12</v>
      </c>
      <c r="D183">
        <v>10</v>
      </c>
      <c r="E183">
        <v>2</v>
      </c>
      <c r="F183">
        <v>8</v>
      </c>
      <c r="G183">
        <v>10</v>
      </c>
      <c r="H183">
        <f t="shared" si="6"/>
        <v>1</v>
      </c>
      <c r="I183">
        <f t="shared" si="7"/>
        <v>5</v>
      </c>
      <c r="J183">
        <f t="shared" si="8"/>
        <v>1.25</v>
      </c>
    </row>
    <row r="184" spans="1:10" x14ac:dyDescent="0.25">
      <c r="A184">
        <v>390</v>
      </c>
      <c r="B184" t="s">
        <v>396</v>
      </c>
      <c r="C184">
        <v>2</v>
      </c>
      <c r="D184">
        <v>1</v>
      </c>
      <c r="E184">
        <v>0</v>
      </c>
      <c r="F184">
        <v>1</v>
      </c>
      <c r="G184">
        <v>10</v>
      </c>
      <c r="H184">
        <f t="shared" si="6"/>
        <v>10</v>
      </c>
      <c r="I184" t="e">
        <f t="shared" si="7"/>
        <v>#DIV/0!</v>
      </c>
      <c r="J184">
        <f t="shared" si="8"/>
        <v>10</v>
      </c>
    </row>
    <row r="185" spans="1:10" x14ac:dyDescent="0.25">
      <c r="A185">
        <v>363</v>
      </c>
      <c r="B185" t="s">
        <v>369</v>
      </c>
      <c r="C185">
        <v>2</v>
      </c>
      <c r="D185">
        <v>1</v>
      </c>
      <c r="E185">
        <v>0</v>
      </c>
      <c r="F185">
        <v>1</v>
      </c>
      <c r="G185">
        <v>15</v>
      </c>
      <c r="H185">
        <f t="shared" si="6"/>
        <v>15</v>
      </c>
      <c r="I185" t="e">
        <f t="shared" si="7"/>
        <v>#DIV/0!</v>
      </c>
      <c r="J185">
        <f t="shared" si="8"/>
        <v>15</v>
      </c>
    </row>
    <row r="186" spans="1:10" x14ac:dyDescent="0.25">
      <c r="A186">
        <v>254</v>
      </c>
      <c r="B186" t="s">
        <v>260</v>
      </c>
      <c r="C186">
        <v>8</v>
      </c>
      <c r="D186">
        <v>5</v>
      </c>
      <c r="E186">
        <v>0</v>
      </c>
      <c r="F186">
        <v>5</v>
      </c>
      <c r="G186">
        <v>18</v>
      </c>
      <c r="H186">
        <f t="shared" si="6"/>
        <v>3.6</v>
      </c>
      <c r="I186" t="e">
        <f t="shared" si="7"/>
        <v>#DIV/0!</v>
      </c>
      <c r="J186">
        <f t="shared" si="8"/>
        <v>3.6</v>
      </c>
    </row>
    <row r="187" spans="1:10" x14ac:dyDescent="0.25">
      <c r="A187">
        <v>93</v>
      </c>
      <c r="B187" t="s">
        <v>99</v>
      </c>
      <c r="C187">
        <v>8</v>
      </c>
      <c r="D187">
        <v>4</v>
      </c>
      <c r="E187">
        <v>0</v>
      </c>
      <c r="F187">
        <v>4</v>
      </c>
      <c r="G187">
        <v>18</v>
      </c>
      <c r="H187">
        <f t="shared" si="6"/>
        <v>4.5</v>
      </c>
      <c r="I187" t="e">
        <f t="shared" si="7"/>
        <v>#DIV/0!</v>
      </c>
      <c r="J187">
        <f t="shared" si="8"/>
        <v>4.5</v>
      </c>
    </row>
    <row r="188" spans="1:10" x14ac:dyDescent="0.25">
      <c r="A188">
        <v>382</v>
      </c>
      <c r="B188" t="s">
        <v>388</v>
      </c>
      <c r="C188">
        <v>7</v>
      </c>
      <c r="D188">
        <v>6</v>
      </c>
      <c r="E188">
        <v>0</v>
      </c>
      <c r="F188">
        <v>6</v>
      </c>
      <c r="G188">
        <v>29</v>
      </c>
      <c r="H188">
        <f t="shared" si="6"/>
        <v>4.833333333333333</v>
      </c>
      <c r="I188" t="e">
        <f t="shared" si="7"/>
        <v>#DIV/0!</v>
      </c>
      <c r="J188">
        <f t="shared" si="8"/>
        <v>4.833333333333333</v>
      </c>
    </row>
    <row r="189" spans="1:10" x14ac:dyDescent="0.25">
      <c r="A189">
        <v>57</v>
      </c>
      <c r="B189" t="s">
        <v>63</v>
      </c>
      <c r="C189">
        <v>42</v>
      </c>
      <c r="D189">
        <v>15</v>
      </c>
      <c r="E189">
        <v>2</v>
      </c>
      <c r="F189">
        <v>13</v>
      </c>
      <c r="G189">
        <v>32</v>
      </c>
      <c r="H189">
        <f t="shared" si="6"/>
        <v>2.1333333333333333</v>
      </c>
      <c r="I189">
        <f t="shared" si="7"/>
        <v>16</v>
      </c>
      <c r="J189">
        <f t="shared" si="8"/>
        <v>2.4615384615384617</v>
      </c>
    </row>
    <row r="190" spans="1:10" x14ac:dyDescent="0.25">
      <c r="A190">
        <v>77</v>
      </c>
      <c r="B190" t="s">
        <v>83</v>
      </c>
      <c r="C190">
        <v>7</v>
      </c>
      <c r="D190">
        <v>5</v>
      </c>
      <c r="E190">
        <v>1</v>
      </c>
      <c r="F190">
        <v>4</v>
      </c>
      <c r="G190">
        <v>37</v>
      </c>
      <c r="H190">
        <f t="shared" si="6"/>
        <v>7.4</v>
      </c>
      <c r="I190">
        <f t="shared" si="7"/>
        <v>37</v>
      </c>
      <c r="J190">
        <f t="shared" si="8"/>
        <v>9.25</v>
      </c>
    </row>
    <row r="191" spans="1:10" x14ac:dyDescent="0.25">
      <c r="A191">
        <v>392</v>
      </c>
      <c r="B191" t="s">
        <v>398</v>
      </c>
      <c r="C191">
        <v>9</v>
      </c>
      <c r="D191">
        <v>1</v>
      </c>
      <c r="E191">
        <v>0</v>
      </c>
      <c r="F191">
        <v>1</v>
      </c>
      <c r="G191">
        <v>54</v>
      </c>
      <c r="H191">
        <f t="shared" si="6"/>
        <v>54</v>
      </c>
      <c r="I191" t="e">
        <f t="shared" si="7"/>
        <v>#DIV/0!</v>
      </c>
      <c r="J191">
        <f t="shared" si="8"/>
        <v>54</v>
      </c>
    </row>
    <row r="192" spans="1:10" x14ac:dyDescent="0.25">
      <c r="A192">
        <v>397</v>
      </c>
      <c r="B192" t="s">
        <v>403</v>
      </c>
      <c r="C192">
        <v>7</v>
      </c>
      <c r="D192">
        <v>3</v>
      </c>
      <c r="E192">
        <v>0</v>
      </c>
      <c r="F192">
        <v>3</v>
      </c>
      <c r="G192">
        <v>79</v>
      </c>
      <c r="H192">
        <f t="shared" si="6"/>
        <v>26.333333333333332</v>
      </c>
      <c r="I192" t="e">
        <f t="shared" si="7"/>
        <v>#DIV/0!</v>
      </c>
      <c r="J192">
        <f t="shared" si="8"/>
        <v>26.333333333333332</v>
      </c>
    </row>
    <row r="193" spans="1:10" x14ac:dyDescent="0.25">
      <c r="A193">
        <v>418</v>
      </c>
      <c r="B193" t="s">
        <v>424</v>
      </c>
      <c r="C193">
        <v>2</v>
      </c>
      <c r="D193">
        <v>1</v>
      </c>
      <c r="E193">
        <v>1</v>
      </c>
      <c r="F193">
        <v>0</v>
      </c>
      <c r="G193">
        <v>79</v>
      </c>
      <c r="H193">
        <f t="shared" si="6"/>
        <v>79</v>
      </c>
      <c r="I193">
        <f t="shared" si="7"/>
        <v>79</v>
      </c>
      <c r="J193" t="e">
        <f t="shared" si="8"/>
        <v>#DIV/0!</v>
      </c>
    </row>
    <row r="194" spans="1:10" x14ac:dyDescent="0.25">
      <c r="A194">
        <v>348</v>
      </c>
      <c r="B194" t="s">
        <v>354</v>
      </c>
      <c r="C194">
        <v>8</v>
      </c>
      <c r="D194">
        <v>5</v>
      </c>
      <c r="E194">
        <v>0</v>
      </c>
      <c r="F194">
        <v>5</v>
      </c>
      <c r="G194">
        <v>133</v>
      </c>
      <c r="H194">
        <f t="shared" ref="H194:H257" si="9">G194/D194</f>
        <v>26.6</v>
      </c>
      <c r="I194" t="e">
        <f t="shared" ref="I194:I257" si="10">G194/E194</f>
        <v>#DIV/0!</v>
      </c>
      <c r="J194">
        <f t="shared" ref="J194:J257" si="11">G194/F194</f>
        <v>26.6</v>
      </c>
    </row>
    <row r="195" spans="1:10" x14ac:dyDescent="0.25">
      <c r="A195">
        <v>374</v>
      </c>
      <c r="B195" t="s">
        <v>380</v>
      </c>
      <c r="C195">
        <v>12</v>
      </c>
      <c r="D195">
        <v>7</v>
      </c>
      <c r="E195">
        <v>1</v>
      </c>
      <c r="F195">
        <v>6</v>
      </c>
      <c r="G195">
        <v>163</v>
      </c>
      <c r="H195">
        <f t="shared" si="9"/>
        <v>23.285714285714285</v>
      </c>
      <c r="I195">
        <f t="shared" si="10"/>
        <v>163</v>
      </c>
      <c r="J195">
        <f t="shared" si="11"/>
        <v>27.166666666666668</v>
      </c>
    </row>
    <row r="196" spans="1:10" x14ac:dyDescent="0.25">
      <c r="A196">
        <v>226</v>
      </c>
      <c r="B196" t="s">
        <v>232</v>
      </c>
      <c r="C196">
        <v>5</v>
      </c>
      <c r="D196">
        <v>4</v>
      </c>
      <c r="E196">
        <v>3</v>
      </c>
      <c r="F196">
        <v>1</v>
      </c>
      <c r="G196">
        <v>167</v>
      </c>
      <c r="H196">
        <f t="shared" si="9"/>
        <v>41.75</v>
      </c>
      <c r="I196">
        <f t="shared" si="10"/>
        <v>55.666666666666664</v>
      </c>
      <c r="J196">
        <f t="shared" si="11"/>
        <v>167</v>
      </c>
    </row>
    <row r="197" spans="1:10" x14ac:dyDescent="0.25">
      <c r="A197">
        <v>309</v>
      </c>
      <c r="B197" t="s">
        <v>315</v>
      </c>
      <c r="C197">
        <v>17</v>
      </c>
      <c r="D197">
        <v>10</v>
      </c>
      <c r="E197">
        <v>3</v>
      </c>
      <c r="F197">
        <v>7</v>
      </c>
      <c r="G197">
        <v>211</v>
      </c>
      <c r="H197">
        <f t="shared" si="9"/>
        <v>21.1</v>
      </c>
      <c r="I197">
        <f t="shared" si="10"/>
        <v>70.333333333333329</v>
      </c>
      <c r="J197">
        <f t="shared" si="11"/>
        <v>30.142857142857142</v>
      </c>
    </row>
    <row r="198" spans="1:10" x14ac:dyDescent="0.25">
      <c r="A198">
        <v>308</v>
      </c>
      <c r="B198" t="s">
        <v>314</v>
      </c>
      <c r="C198">
        <v>5</v>
      </c>
      <c r="D198">
        <v>1</v>
      </c>
      <c r="E198">
        <v>1</v>
      </c>
      <c r="F198">
        <v>0</v>
      </c>
      <c r="G198">
        <v>227</v>
      </c>
      <c r="H198">
        <f t="shared" si="9"/>
        <v>227</v>
      </c>
      <c r="I198">
        <f t="shared" si="10"/>
        <v>227</v>
      </c>
      <c r="J198" t="e">
        <f t="shared" si="11"/>
        <v>#DIV/0!</v>
      </c>
    </row>
    <row r="199" spans="1:10" x14ac:dyDescent="0.25">
      <c r="A199">
        <v>200</v>
      </c>
      <c r="B199" t="s">
        <v>206</v>
      </c>
      <c r="C199">
        <v>10</v>
      </c>
      <c r="D199">
        <v>5</v>
      </c>
      <c r="E199">
        <v>1</v>
      </c>
      <c r="F199">
        <v>4</v>
      </c>
      <c r="G199">
        <v>237</v>
      </c>
      <c r="H199">
        <f t="shared" si="9"/>
        <v>47.4</v>
      </c>
      <c r="I199">
        <f t="shared" si="10"/>
        <v>237</v>
      </c>
      <c r="J199">
        <f t="shared" si="11"/>
        <v>59.25</v>
      </c>
    </row>
    <row r="200" spans="1:10" x14ac:dyDescent="0.25">
      <c r="A200">
        <v>29</v>
      </c>
      <c r="B200" t="s">
        <v>35</v>
      </c>
      <c r="C200">
        <v>13</v>
      </c>
      <c r="D200">
        <v>5</v>
      </c>
      <c r="E200">
        <v>1</v>
      </c>
      <c r="F200">
        <v>4</v>
      </c>
      <c r="G200">
        <v>241</v>
      </c>
      <c r="H200">
        <f t="shared" si="9"/>
        <v>48.2</v>
      </c>
      <c r="I200">
        <f t="shared" si="10"/>
        <v>241</v>
      </c>
      <c r="J200">
        <f t="shared" si="11"/>
        <v>60.25</v>
      </c>
    </row>
    <row r="201" spans="1:10" x14ac:dyDescent="0.25">
      <c r="A201">
        <v>133</v>
      </c>
      <c r="B201" t="s">
        <v>139</v>
      </c>
      <c r="C201">
        <v>7</v>
      </c>
      <c r="D201">
        <v>6</v>
      </c>
      <c r="E201">
        <v>1</v>
      </c>
      <c r="F201">
        <v>5</v>
      </c>
      <c r="G201">
        <v>257</v>
      </c>
      <c r="H201">
        <f t="shared" si="9"/>
        <v>42.833333333333336</v>
      </c>
      <c r="I201">
        <f t="shared" si="10"/>
        <v>257</v>
      </c>
      <c r="J201">
        <f t="shared" si="11"/>
        <v>51.4</v>
      </c>
    </row>
    <row r="202" spans="1:10" x14ac:dyDescent="0.25">
      <c r="A202">
        <v>384</v>
      </c>
      <c r="B202" t="s">
        <v>390</v>
      </c>
      <c r="C202">
        <v>5</v>
      </c>
      <c r="D202">
        <v>4</v>
      </c>
      <c r="E202">
        <v>1</v>
      </c>
      <c r="F202">
        <v>3</v>
      </c>
      <c r="G202">
        <v>257</v>
      </c>
      <c r="H202">
        <f t="shared" si="9"/>
        <v>64.25</v>
      </c>
      <c r="I202">
        <f t="shared" si="10"/>
        <v>257</v>
      </c>
      <c r="J202">
        <f t="shared" si="11"/>
        <v>85.666666666666671</v>
      </c>
    </row>
    <row r="203" spans="1:10" x14ac:dyDescent="0.25">
      <c r="A203">
        <v>165</v>
      </c>
      <c r="B203" t="s">
        <v>171</v>
      </c>
      <c r="C203">
        <v>5</v>
      </c>
      <c r="D203">
        <v>2</v>
      </c>
      <c r="E203">
        <v>2</v>
      </c>
      <c r="F203">
        <v>0</v>
      </c>
      <c r="G203">
        <v>300</v>
      </c>
      <c r="H203">
        <f t="shared" si="9"/>
        <v>150</v>
      </c>
      <c r="I203">
        <f t="shared" si="10"/>
        <v>150</v>
      </c>
      <c r="J203" t="e">
        <f t="shared" si="11"/>
        <v>#DIV/0!</v>
      </c>
    </row>
    <row r="204" spans="1:10" x14ac:dyDescent="0.25">
      <c r="A204">
        <v>393</v>
      </c>
      <c r="B204" t="s">
        <v>399</v>
      </c>
      <c r="C204">
        <v>8</v>
      </c>
      <c r="D204">
        <v>2</v>
      </c>
      <c r="E204">
        <v>1</v>
      </c>
      <c r="F204">
        <v>1</v>
      </c>
      <c r="G204">
        <v>310</v>
      </c>
      <c r="H204">
        <f t="shared" si="9"/>
        <v>155</v>
      </c>
      <c r="I204">
        <f t="shared" si="10"/>
        <v>310</v>
      </c>
      <c r="J204">
        <f t="shared" si="11"/>
        <v>310</v>
      </c>
    </row>
    <row r="205" spans="1:10" x14ac:dyDescent="0.25">
      <c r="A205">
        <v>47</v>
      </c>
      <c r="B205" t="s">
        <v>53</v>
      </c>
      <c r="C205">
        <v>12</v>
      </c>
      <c r="D205">
        <v>11</v>
      </c>
      <c r="E205">
        <v>3</v>
      </c>
      <c r="F205">
        <v>8</v>
      </c>
      <c r="G205">
        <v>324</v>
      </c>
      <c r="H205">
        <f t="shared" si="9"/>
        <v>29.454545454545453</v>
      </c>
      <c r="I205">
        <f t="shared" si="10"/>
        <v>108</v>
      </c>
      <c r="J205">
        <f t="shared" si="11"/>
        <v>40.5</v>
      </c>
    </row>
    <row r="206" spans="1:10" x14ac:dyDescent="0.25">
      <c r="A206">
        <v>328</v>
      </c>
      <c r="B206" t="s">
        <v>334</v>
      </c>
      <c r="C206">
        <v>3</v>
      </c>
      <c r="D206">
        <v>2</v>
      </c>
      <c r="E206">
        <v>0</v>
      </c>
      <c r="F206">
        <v>2</v>
      </c>
      <c r="G206">
        <v>352</v>
      </c>
      <c r="H206">
        <f t="shared" si="9"/>
        <v>176</v>
      </c>
      <c r="I206" t="e">
        <f t="shared" si="10"/>
        <v>#DIV/0!</v>
      </c>
      <c r="J206">
        <f t="shared" si="11"/>
        <v>176</v>
      </c>
    </row>
    <row r="207" spans="1:10" x14ac:dyDescent="0.25">
      <c r="A207">
        <v>280</v>
      </c>
      <c r="B207" t="s">
        <v>286</v>
      </c>
      <c r="C207">
        <v>5</v>
      </c>
      <c r="D207">
        <v>4</v>
      </c>
      <c r="E207">
        <v>0</v>
      </c>
      <c r="F207">
        <v>4</v>
      </c>
      <c r="G207">
        <v>370</v>
      </c>
      <c r="H207">
        <f t="shared" si="9"/>
        <v>92.5</v>
      </c>
      <c r="I207" t="e">
        <f t="shared" si="10"/>
        <v>#DIV/0!</v>
      </c>
      <c r="J207">
        <f t="shared" si="11"/>
        <v>92.5</v>
      </c>
    </row>
    <row r="208" spans="1:10" x14ac:dyDescent="0.25">
      <c r="A208">
        <v>404</v>
      </c>
      <c r="B208" t="s">
        <v>410</v>
      </c>
      <c r="C208">
        <v>4</v>
      </c>
      <c r="D208">
        <v>2</v>
      </c>
      <c r="E208">
        <v>0</v>
      </c>
      <c r="F208">
        <v>2</v>
      </c>
      <c r="G208">
        <v>377</v>
      </c>
      <c r="H208">
        <f t="shared" si="9"/>
        <v>188.5</v>
      </c>
      <c r="I208" t="e">
        <f t="shared" si="10"/>
        <v>#DIV/0!</v>
      </c>
      <c r="J208">
        <f t="shared" si="11"/>
        <v>188.5</v>
      </c>
    </row>
    <row r="209" spans="1:10" x14ac:dyDescent="0.25">
      <c r="A209">
        <v>409</v>
      </c>
      <c r="B209" t="s">
        <v>415</v>
      </c>
      <c r="C209">
        <v>15</v>
      </c>
      <c r="D209">
        <v>5</v>
      </c>
      <c r="E209">
        <v>0</v>
      </c>
      <c r="F209">
        <v>5</v>
      </c>
      <c r="G209">
        <v>405</v>
      </c>
      <c r="H209">
        <f t="shared" si="9"/>
        <v>81</v>
      </c>
      <c r="I209" t="e">
        <f t="shared" si="10"/>
        <v>#DIV/0!</v>
      </c>
      <c r="J209">
        <f t="shared" si="11"/>
        <v>81</v>
      </c>
    </row>
    <row r="210" spans="1:10" x14ac:dyDescent="0.25">
      <c r="A210">
        <v>127</v>
      </c>
      <c r="B210" t="s">
        <v>133</v>
      </c>
      <c r="C210">
        <v>5</v>
      </c>
      <c r="D210">
        <v>1</v>
      </c>
      <c r="E210">
        <v>0</v>
      </c>
      <c r="F210">
        <v>1</v>
      </c>
      <c r="G210">
        <v>406</v>
      </c>
      <c r="H210">
        <f t="shared" si="9"/>
        <v>406</v>
      </c>
      <c r="I210" t="e">
        <f t="shared" si="10"/>
        <v>#DIV/0!</v>
      </c>
      <c r="J210">
        <f t="shared" si="11"/>
        <v>406</v>
      </c>
    </row>
    <row r="211" spans="1:10" x14ac:dyDescent="0.25">
      <c r="A211">
        <v>262</v>
      </c>
      <c r="B211" t="s">
        <v>268</v>
      </c>
      <c r="C211">
        <v>6</v>
      </c>
      <c r="D211">
        <v>3</v>
      </c>
      <c r="E211">
        <v>1</v>
      </c>
      <c r="F211">
        <v>2</v>
      </c>
      <c r="G211">
        <v>431</v>
      </c>
      <c r="H211">
        <f t="shared" si="9"/>
        <v>143.66666666666666</v>
      </c>
      <c r="I211">
        <f t="shared" si="10"/>
        <v>431</v>
      </c>
      <c r="J211">
        <f t="shared" si="11"/>
        <v>215.5</v>
      </c>
    </row>
    <row r="212" spans="1:10" x14ac:dyDescent="0.25">
      <c r="A212">
        <v>234</v>
      </c>
      <c r="B212" t="s">
        <v>240</v>
      </c>
      <c r="C212">
        <v>4</v>
      </c>
      <c r="D212">
        <v>3</v>
      </c>
      <c r="E212">
        <v>0</v>
      </c>
      <c r="F212">
        <v>3</v>
      </c>
      <c r="G212">
        <v>432</v>
      </c>
      <c r="H212">
        <f t="shared" si="9"/>
        <v>144</v>
      </c>
      <c r="I212" t="e">
        <f t="shared" si="10"/>
        <v>#DIV/0!</v>
      </c>
      <c r="J212">
        <f t="shared" si="11"/>
        <v>144</v>
      </c>
    </row>
    <row r="213" spans="1:10" x14ac:dyDescent="0.25">
      <c r="A213">
        <v>417</v>
      </c>
      <c r="B213" t="s">
        <v>423</v>
      </c>
      <c r="C213">
        <v>2</v>
      </c>
      <c r="D213">
        <v>1</v>
      </c>
      <c r="E213">
        <v>0</v>
      </c>
      <c r="F213">
        <v>1</v>
      </c>
      <c r="G213">
        <v>439</v>
      </c>
      <c r="H213">
        <f t="shared" si="9"/>
        <v>439</v>
      </c>
      <c r="I213" t="e">
        <f t="shared" si="10"/>
        <v>#DIV/0!</v>
      </c>
      <c r="J213">
        <f t="shared" si="11"/>
        <v>439</v>
      </c>
    </row>
    <row r="214" spans="1:10" x14ac:dyDescent="0.25">
      <c r="A214">
        <v>72</v>
      </c>
      <c r="B214" t="s">
        <v>78</v>
      </c>
      <c r="C214">
        <v>4</v>
      </c>
      <c r="D214">
        <v>3</v>
      </c>
      <c r="E214">
        <v>0</v>
      </c>
      <c r="F214">
        <v>3</v>
      </c>
      <c r="G214">
        <v>448</v>
      </c>
      <c r="H214">
        <f t="shared" si="9"/>
        <v>149.33333333333334</v>
      </c>
      <c r="I214" t="e">
        <f t="shared" si="10"/>
        <v>#DIV/0!</v>
      </c>
      <c r="J214">
        <f t="shared" si="11"/>
        <v>149.33333333333334</v>
      </c>
    </row>
    <row r="215" spans="1:10" x14ac:dyDescent="0.25">
      <c r="A215">
        <v>227</v>
      </c>
      <c r="B215" t="s">
        <v>233</v>
      </c>
      <c r="C215">
        <v>7</v>
      </c>
      <c r="D215">
        <v>4</v>
      </c>
      <c r="E215">
        <v>0</v>
      </c>
      <c r="F215">
        <v>4</v>
      </c>
      <c r="G215">
        <v>449</v>
      </c>
      <c r="H215">
        <f t="shared" si="9"/>
        <v>112.25</v>
      </c>
      <c r="I215" t="e">
        <f t="shared" si="10"/>
        <v>#DIV/0!</v>
      </c>
      <c r="J215">
        <f t="shared" si="11"/>
        <v>112.25</v>
      </c>
    </row>
    <row r="216" spans="1:10" x14ac:dyDescent="0.25">
      <c r="A216">
        <v>286</v>
      </c>
      <c r="B216" t="s">
        <v>292</v>
      </c>
      <c r="C216">
        <v>4</v>
      </c>
      <c r="D216">
        <v>3</v>
      </c>
      <c r="E216">
        <v>1</v>
      </c>
      <c r="F216">
        <v>2</v>
      </c>
      <c r="G216">
        <v>456</v>
      </c>
      <c r="H216">
        <f t="shared" si="9"/>
        <v>152</v>
      </c>
      <c r="I216">
        <f t="shared" si="10"/>
        <v>456</v>
      </c>
      <c r="J216">
        <f t="shared" si="11"/>
        <v>228</v>
      </c>
    </row>
    <row r="217" spans="1:10" x14ac:dyDescent="0.25">
      <c r="A217">
        <v>113</v>
      </c>
      <c r="B217" t="s">
        <v>119</v>
      </c>
      <c r="C217">
        <v>8</v>
      </c>
      <c r="D217">
        <v>7</v>
      </c>
      <c r="E217">
        <v>2</v>
      </c>
      <c r="F217">
        <v>5</v>
      </c>
      <c r="G217">
        <v>461</v>
      </c>
      <c r="H217">
        <f t="shared" si="9"/>
        <v>65.857142857142861</v>
      </c>
      <c r="I217">
        <f t="shared" si="10"/>
        <v>230.5</v>
      </c>
      <c r="J217">
        <f t="shared" si="11"/>
        <v>92.2</v>
      </c>
    </row>
    <row r="218" spans="1:10" x14ac:dyDescent="0.25">
      <c r="A218">
        <v>285</v>
      </c>
      <c r="B218" t="s">
        <v>291</v>
      </c>
      <c r="C218">
        <v>3</v>
      </c>
      <c r="D218">
        <v>2</v>
      </c>
      <c r="E218">
        <v>0</v>
      </c>
      <c r="F218">
        <v>2</v>
      </c>
      <c r="G218">
        <v>474</v>
      </c>
      <c r="H218">
        <f t="shared" si="9"/>
        <v>237</v>
      </c>
      <c r="I218" t="e">
        <f t="shared" si="10"/>
        <v>#DIV/0!</v>
      </c>
      <c r="J218">
        <f t="shared" si="11"/>
        <v>237</v>
      </c>
    </row>
    <row r="219" spans="1:10" x14ac:dyDescent="0.25">
      <c r="A219">
        <v>284</v>
      </c>
      <c r="B219" t="s">
        <v>290</v>
      </c>
      <c r="C219">
        <v>9</v>
      </c>
      <c r="D219">
        <v>5</v>
      </c>
      <c r="E219">
        <v>1</v>
      </c>
      <c r="F219">
        <v>4</v>
      </c>
      <c r="G219">
        <v>516</v>
      </c>
      <c r="H219">
        <f t="shared" si="9"/>
        <v>103.2</v>
      </c>
      <c r="I219">
        <f t="shared" si="10"/>
        <v>516</v>
      </c>
      <c r="J219">
        <f t="shared" si="11"/>
        <v>129</v>
      </c>
    </row>
    <row r="220" spans="1:10" x14ac:dyDescent="0.25">
      <c r="A220">
        <v>352</v>
      </c>
      <c r="B220" t="s">
        <v>358</v>
      </c>
      <c r="C220">
        <v>11</v>
      </c>
      <c r="D220">
        <v>8</v>
      </c>
      <c r="E220">
        <v>2</v>
      </c>
      <c r="F220">
        <v>6</v>
      </c>
      <c r="G220">
        <v>524</v>
      </c>
      <c r="H220">
        <f t="shared" si="9"/>
        <v>65.5</v>
      </c>
      <c r="I220">
        <f t="shared" si="10"/>
        <v>262</v>
      </c>
      <c r="J220">
        <f t="shared" si="11"/>
        <v>87.333333333333329</v>
      </c>
    </row>
    <row r="221" spans="1:10" x14ac:dyDescent="0.25">
      <c r="A221">
        <v>354</v>
      </c>
      <c r="B221" t="s">
        <v>360</v>
      </c>
      <c r="C221">
        <v>11</v>
      </c>
      <c r="D221">
        <v>5</v>
      </c>
      <c r="E221">
        <v>2</v>
      </c>
      <c r="F221">
        <v>3</v>
      </c>
      <c r="G221">
        <v>524</v>
      </c>
      <c r="H221">
        <f t="shared" si="9"/>
        <v>104.8</v>
      </c>
      <c r="I221">
        <f t="shared" si="10"/>
        <v>262</v>
      </c>
      <c r="J221">
        <f t="shared" si="11"/>
        <v>174.66666666666666</v>
      </c>
    </row>
    <row r="222" spans="1:10" x14ac:dyDescent="0.25">
      <c r="A222">
        <v>313</v>
      </c>
      <c r="B222" t="s">
        <v>319</v>
      </c>
      <c r="C222">
        <v>13</v>
      </c>
      <c r="D222">
        <v>1</v>
      </c>
      <c r="E222">
        <v>0</v>
      </c>
      <c r="F222">
        <v>1</v>
      </c>
      <c r="G222">
        <v>540</v>
      </c>
      <c r="H222">
        <f t="shared" si="9"/>
        <v>540</v>
      </c>
      <c r="I222" t="e">
        <f t="shared" si="10"/>
        <v>#DIV/0!</v>
      </c>
      <c r="J222">
        <f t="shared" si="11"/>
        <v>540</v>
      </c>
    </row>
    <row r="223" spans="1:10" x14ac:dyDescent="0.25">
      <c r="A223">
        <v>117</v>
      </c>
      <c r="B223" t="s">
        <v>123</v>
      </c>
      <c r="C223">
        <v>4</v>
      </c>
      <c r="D223">
        <v>3</v>
      </c>
      <c r="E223">
        <v>1</v>
      </c>
      <c r="F223">
        <v>2</v>
      </c>
      <c r="G223">
        <v>568</v>
      </c>
      <c r="H223">
        <f t="shared" si="9"/>
        <v>189.33333333333334</v>
      </c>
      <c r="I223">
        <f t="shared" si="10"/>
        <v>568</v>
      </c>
      <c r="J223">
        <f t="shared" si="11"/>
        <v>284</v>
      </c>
    </row>
    <row r="224" spans="1:10" x14ac:dyDescent="0.25">
      <c r="A224">
        <v>32</v>
      </c>
      <c r="B224" t="s">
        <v>38</v>
      </c>
      <c r="C224">
        <v>9</v>
      </c>
      <c r="D224">
        <v>7</v>
      </c>
      <c r="E224">
        <v>2</v>
      </c>
      <c r="F224">
        <v>5</v>
      </c>
      <c r="G224">
        <v>569</v>
      </c>
      <c r="H224">
        <f t="shared" si="9"/>
        <v>81.285714285714292</v>
      </c>
      <c r="I224">
        <f t="shared" si="10"/>
        <v>284.5</v>
      </c>
      <c r="J224">
        <f t="shared" si="11"/>
        <v>113.8</v>
      </c>
    </row>
    <row r="225" spans="1:10" x14ac:dyDescent="0.25">
      <c r="A225">
        <v>79</v>
      </c>
      <c r="B225" t="s">
        <v>85</v>
      </c>
      <c r="C225">
        <v>8</v>
      </c>
      <c r="D225">
        <v>3</v>
      </c>
      <c r="E225">
        <v>0</v>
      </c>
      <c r="F225">
        <v>3</v>
      </c>
      <c r="G225">
        <v>569</v>
      </c>
      <c r="H225">
        <f t="shared" si="9"/>
        <v>189.66666666666666</v>
      </c>
      <c r="I225" t="e">
        <f t="shared" si="10"/>
        <v>#DIV/0!</v>
      </c>
      <c r="J225">
        <f t="shared" si="11"/>
        <v>189.66666666666666</v>
      </c>
    </row>
    <row r="226" spans="1:10" x14ac:dyDescent="0.25">
      <c r="A226">
        <v>369</v>
      </c>
      <c r="B226" t="s">
        <v>375</v>
      </c>
      <c r="C226">
        <v>6</v>
      </c>
      <c r="D226">
        <v>3</v>
      </c>
      <c r="E226">
        <v>0</v>
      </c>
      <c r="F226">
        <v>3</v>
      </c>
      <c r="G226">
        <v>594</v>
      </c>
      <c r="H226">
        <f t="shared" si="9"/>
        <v>198</v>
      </c>
      <c r="I226" t="e">
        <f t="shared" si="10"/>
        <v>#DIV/0!</v>
      </c>
      <c r="J226">
        <f t="shared" si="11"/>
        <v>198</v>
      </c>
    </row>
    <row r="227" spans="1:10" x14ac:dyDescent="0.25">
      <c r="A227">
        <v>187</v>
      </c>
      <c r="B227" t="s">
        <v>193</v>
      </c>
      <c r="C227">
        <v>5</v>
      </c>
      <c r="D227">
        <v>2</v>
      </c>
      <c r="E227">
        <v>2</v>
      </c>
      <c r="F227">
        <v>0</v>
      </c>
      <c r="G227">
        <v>634</v>
      </c>
      <c r="H227">
        <f t="shared" si="9"/>
        <v>317</v>
      </c>
      <c r="I227">
        <f t="shared" si="10"/>
        <v>317</v>
      </c>
      <c r="J227" t="e">
        <f t="shared" si="11"/>
        <v>#DIV/0!</v>
      </c>
    </row>
    <row r="228" spans="1:10" x14ac:dyDescent="0.25">
      <c r="A228">
        <v>380</v>
      </c>
      <c r="B228" t="s">
        <v>386</v>
      </c>
      <c r="C228">
        <v>7</v>
      </c>
      <c r="D228">
        <v>5</v>
      </c>
      <c r="E228">
        <v>0</v>
      </c>
      <c r="F228">
        <v>5</v>
      </c>
      <c r="G228">
        <v>645</v>
      </c>
      <c r="H228">
        <f t="shared" si="9"/>
        <v>129</v>
      </c>
      <c r="I228" t="e">
        <f t="shared" si="10"/>
        <v>#DIV/0!</v>
      </c>
      <c r="J228">
        <f t="shared" si="11"/>
        <v>129</v>
      </c>
    </row>
    <row r="229" spans="1:10" x14ac:dyDescent="0.25">
      <c r="A229">
        <v>141</v>
      </c>
      <c r="B229" t="s">
        <v>147</v>
      </c>
      <c r="C229">
        <v>10</v>
      </c>
      <c r="D229">
        <v>7</v>
      </c>
      <c r="E229">
        <v>0</v>
      </c>
      <c r="F229">
        <v>7</v>
      </c>
      <c r="G229">
        <v>647</v>
      </c>
      <c r="H229">
        <f t="shared" si="9"/>
        <v>92.428571428571431</v>
      </c>
      <c r="I229" t="e">
        <f t="shared" si="10"/>
        <v>#DIV/0!</v>
      </c>
      <c r="J229">
        <f t="shared" si="11"/>
        <v>92.428571428571431</v>
      </c>
    </row>
    <row r="230" spans="1:10" x14ac:dyDescent="0.25">
      <c r="A230">
        <v>166</v>
      </c>
      <c r="B230" t="s">
        <v>172</v>
      </c>
      <c r="C230">
        <v>10</v>
      </c>
      <c r="D230">
        <v>4</v>
      </c>
      <c r="E230">
        <v>2</v>
      </c>
      <c r="F230">
        <v>2</v>
      </c>
      <c r="G230">
        <v>657</v>
      </c>
      <c r="H230">
        <f t="shared" si="9"/>
        <v>164.25</v>
      </c>
      <c r="I230">
        <f t="shared" si="10"/>
        <v>328.5</v>
      </c>
      <c r="J230">
        <f t="shared" si="11"/>
        <v>328.5</v>
      </c>
    </row>
    <row r="231" spans="1:10" x14ac:dyDescent="0.25">
      <c r="A231">
        <v>283</v>
      </c>
      <c r="B231" t="s">
        <v>289</v>
      </c>
      <c r="C231">
        <v>10</v>
      </c>
      <c r="D231">
        <v>9</v>
      </c>
      <c r="E231">
        <v>0</v>
      </c>
      <c r="F231">
        <v>9</v>
      </c>
      <c r="G231">
        <v>684</v>
      </c>
      <c r="H231">
        <f t="shared" si="9"/>
        <v>76</v>
      </c>
      <c r="I231" t="e">
        <f t="shared" si="10"/>
        <v>#DIV/0!</v>
      </c>
      <c r="J231">
        <f t="shared" si="11"/>
        <v>76</v>
      </c>
    </row>
    <row r="232" spans="1:10" x14ac:dyDescent="0.25">
      <c r="A232">
        <v>405</v>
      </c>
      <c r="B232" t="s">
        <v>411</v>
      </c>
      <c r="C232">
        <v>2</v>
      </c>
      <c r="D232">
        <v>1</v>
      </c>
      <c r="E232">
        <v>0</v>
      </c>
      <c r="F232">
        <v>1</v>
      </c>
      <c r="G232">
        <v>720</v>
      </c>
      <c r="H232">
        <f t="shared" si="9"/>
        <v>720</v>
      </c>
      <c r="I232" t="e">
        <f t="shared" si="10"/>
        <v>#DIV/0!</v>
      </c>
      <c r="J232">
        <f t="shared" si="11"/>
        <v>720</v>
      </c>
    </row>
    <row r="233" spans="1:10" x14ac:dyDescent="0.25">
      <c r="A233">
        <v>114</v>
      </c>
      <c r="B233" t="s">
        <v>120</v>
      </c>
      <c r="C233">
        <v>21</v>
      </c>
      <c r="D233">
        <v>17</v>
      </c>
      <c r="E233">
        <v>4</v>
      </c>
      <c r="F233">
        <v>13</v>
      </c>
      <c r="G233">
        <v>734</v>
      </c>
      <c r="H233">
        <f t="shared" si="9"/>
        <v>43.176470588235297</v>
      </c>
      <c r="I233">
        <f t="shared" si="10"/>
        <v>183.5</v>
      </c>
      <c r="J233">
        <f t="shared" si="11"/>
        <v>56.46153846153846</v>
      </c>
    </row>
    <row r="234" spans="1:10" x14ac:dyDescent="0.25">
      <c r="A234">
        <v>261</v>
      </c>
      <c r="B234" t="s">
        <v>267</v>
      </c>
      <c r="C234">
        <v>8</v>
      </c>
      <c r="D234">
        <v>7</v>
      </c>
      <c r="E234">
        <v>2</v>
      </c>
      <c r="F234">
        <v>5</v>
      </c>
      <c r="G234">
        <v>742</v>
      </c>
      <c r="H234">
        <f t="shared" si="9"/>
        <v>106</v>
      </c>
      <c r="I234">
        <f t="shared" si="10"/>
        <v>371</v>
      </c>
      <c r="J234">
        <f t="shared" si="11"/>
        <v>148.4</v>
      </c>
    </row>
    <row r="235" spans="1:10" x14ac:dyDescent="0.25">
      <c r="A235">
        <v>94</v>
      </c>
      <c r="B235" t="s">
        <v>100</v>
      </c>
      <c r="C235">
        <v>10</v>
      </c>
      <c r="D235">
        <v>8</v>
      </c>
      <c r="E235">
        <v>3</v>
      </c>
      <c r="F235">
        <v>5</v>
      </c>
      <c r="G235">
        <v>755</v>
      </c>
      <c r="H235">
        <f t="shared" si="9"/>
        <v>94.375</v>
      </c>
      <c r="I235">
        <f t="shared" si="10"/>
        <v>251.66666666666666</v>
      </c>
      <c r="J235">
        <f t="shared" si="11"/>
        <v>151</v>
      </c>
    </row>
    <row r="236" spans="1:10" x14ac:dyDescent="0.25">
      <c r="A236">
        <v>355</v>
      </c>
      <c r="B236" t="s">
        <v>361</v>
      </c>
      <c r="C236">
        <v>9</v>
      </c>
      <c r="D236">
        <v>8</v>
      </c>
      <c r="E236">
        <v>2</v>
      </c>
      <c r="F236">
        <v>6</v>
      </c>
      <c r="G236">
        <v>755</v>
      </c>
      <c r="H236">
        <f t="shared" si="9"/>
        <v>94.375</v>
      </c>
      <c r="I236">
        <f t="shared" si="10"/>
        <v>377.5</v>
      </c>
      <c r="J236">
        <f t="shared" si="11"/>
        <v>125.83333333333333</v>
      </c>
    </row>
    <row r="237" spans="1:10" x14ac:dyDescent="0.25">
      <c r="A237">
        <v>218</v>
      </c>
      <c r="B237" t="s">
        <v>224</v>
      </c>
      <c r="C237">
        <v>10</v>
      </c>
      <c r="D237">
        <v>5</v>
      </c>
      <c r="E237">
        <v>1</v>
      </c>
      <c r="F237">
        <v>4</v>
      </c>
      <c r="G237">
        <v>761</v>
      </c>
      <c r="H237">
        <f t="shared" si="9"/>
        <v>152.19999999999999</v>
      </c>
      <c r="I237">
        <f t="shared" si="10"/>
        <v>761</v>
      </c>
      <c r="J237">
        <f t="shared" si="11"/>
        <v>190.25</v>
      </c>
    </row>
    <row r="238" spans="1:10" x14ac:dyDescent="0.25">
      <c r="A238">
        <v>349</v>
      </c>
      <c r="B238" t="s">
        <v>355</v>
      </c>
      <c r="C238">
        <v>9</v>
      </c>
      <c r="D238">
        <v>7</v>
      </c>
      <c r="E238">
        <v>0</v>
      </c>
      <c r="F238">
        <v>7</v>
      </c>
      <c r="G238">
        <v>762</v>
      </c>
      <c r="H238">
        <f t="shared" si="9"/>
        <v>108.85714285714286</v>
      </c>
      <c r="I238" t="e">
        <f t="shared" si="10"/>
        <v>#DIV/0!</v>
      </c>
      <c r="J238">
        <f t="shared" si="11"/>
        <v>108.85714285714286</v>
      </c>
    </row>
    <row r="239" spans="1:10" x14ac:dyDescent="0.25">
      <c r="A239">
        <v>168</v>
      </c>
      <c r="B239" t="s">
        <v>174</v>
      </c>
      <c r="C239">
        <v>4</v>
      </c>
      <c r="D239">
        <v>2</v>
      </c>
      <c r="E239">
        <v>1</v>
      </c>
      <c r="F239">
        <v>1</v>
      </c>
      <c r="G239">
        <v>764</v>
      </c>
      <c r="H239">
        <f t="shared" si="9"/>
        <v>382</v>
      </c>
      <c r="I239">
        <f t="shared" si="10"/>
        <v>764</v>
      </c>
      <c r="J239">
        <f t="shared" si="11"/>
        <v>764</v>
      </c>
    </row>
    <row r="240" spans="1:10" x14ac:dyDescent="0.25">
      <c r="A240">
        <v>378</v>
      </c>
      <c r="B240" t="s">
        <v>384</v>
      </c>
      <c r="C240">
        <v>4</v>
      </c>
      <c r="D240">
        <v>3</v>
      </c>
      <c r="E240">
        <v>0</v>
      </c>
      <c r="F240">
        <v>3</v>
      </c>
      <c r="G240">
        <v>779</v>
      </c>
      <c r="H240">
        <f t="shared" si="9"/>
        <v>259.66666666666669</v>
      </c>
      <c r="I240" t="e">
        <f t="shared" si="10"/>
        <v>#DIV/0!</v>
      </c>
      <c r="J240">
        <f t="shared" si="11"/>
        <v>259.66666666666669</v>
      </c>
    </row>
    <row r="241" spans="1:10" x14ac:dyDescent="0.25">
      <c r="A241">
        <v>91</v>
      </c>
      <c r="B241" t="s">
        <v>97</v>
      </c>
      <c r="C241">
        <v>8</v>
      </c>
      <c r="D241">
        <v>6</v>
      </c>
      <c r="E241">
        <v>1</v>
      </c>
      <c r="F241">
        <v>5</v>
      </c>
      <c r="G241">
        <v>797</v>
      </c>
      <c r="H241">
        <f t="shared" si="9"/>
        <v>132.83333333333334</v>
      </c>
      <c r="I241">
        <f t="shared" si="10"/>
        <v>797</v>
      </c>
      <c r="J241">
        <f t="shared" si="11"/>
        <v>159.4</v>
      </c>
    </row>
    <row r="242" spans="1:10" x14ac:dyDescent="0.25">
      <c r="A242">
        <v>410</v>
      </c>
      <c r="B242" t="s">
        <v>416</v>
      </c>
      <c r="C242">
        <v>4</v>
      </c>
      <c r="D242">
        <v>3</v>
      </c>
      <c r="E242">
        <v>0</v>
      </c>
      <c r="F242">
        <v>3</v>
      </c>
      <c r="G242">
        <v>798</v>
      </c>
      <c r="H242">
        <f t="shared" si="9"/>
        <v>266</v>
      </c>
      <c r="I242" t="e">
        <f t="shared" si="10"/>
        <v>#DIV/0!</v>
      </c>
      <c r="J242">
        <f t="shared" si="11"/>
        <v>266</v>
      </c>
    </row>
    <row r="243" spans="1:10" x14ac:dyDescent="0.25">
      <c r="A243">
        <v>55</v>
      </c>
      <c r="B243" t="s">
        <v>61</v>
      </c>
      <c r="C243">
        <v>6</v>
      </c>
      <c r="D243">
        <v>5</v>
      </c>
      <c r="E243">
        <v>4</v>
      </c>
      <c r="F243">
        <v>1</v>
      </c>
      <c r="G243">
        <v>823</v>
      </c>
      <c r="H243">
        <f t="shared" si="9"/>
        <v>164.6</v>
      </c>
      <c r="I243">
        <f t="shared" si="10"/>
        <v>205.75</v>
      </c>
      <c r="J243">
        <f t="shared" si="11"/>
        <v>823</v>
      </c>
    </row>
    <row r="244" spans="1:10" x14ac:dyDescent="0.25">
      <c r="A244">
        <v>295</v>
      </c>
      <c r="B244" t="s">
        <v>301</v>
      </c>
      <c r="C244">
        <v>4</v>
      </c>
      <c r="D244">
        <v>3</v>
      </c>
      <c r="E244">
        <v>1</v>
      </c>
      <c r="F244">
        <v>2</v>
      </c>
      <c r="G244">
        <v>851</v>
      </c>
      <c r="H244">
        <f t="shared" si="9"/>
        <v>283.66666666666669</v>
      </c>
      <c r="I244">
        <f t="shared" si="10"/>
        <v>851</v>
      </c>
      <c r="J244">
        <f t="shared" si="11"/>
        <v>425.5</v>
      </c>
    </row>
    <row r="245" spans="1:10" x14ac:dyDescent="0.25">
      <c r="A245">
        <v>260</v>
      </c>
      <c r="B245" t="s">
        <v>266</v>
      </c>
      <c r="C245">
        <v>6</v>
      </c>
      <c r="D245">
        <v>4</v>
      </c>
      <c r="E245">
        <v>1</v>
      </c>
      <c r="F245">
        <v>3</v>
      </c>
      <c r="G245">
        <v>862</v>
      </c>
      <c r="H245">
        <f t="shared" si="9"/>
        <v>215.5</v>
      </c>
      <c r="I245">
        <f t="shared" si="10"/>
        <v>862</v>
      </c>
      <c r="J245">
        <f t="shared" si="11"/>
        <v>287.33333333333331</v>
      </c>
    </row>
    <row r="246" spans="1:10" x14ac:dyDescent="0.25">
      <c r="A246">
        <v>128</v>
      </c>
      <c r="B246" t="s">
        <v>134</v>
      </c>
      <c r="C246">
        <v>13</v>
      </c>
      <c r="D246">
        <v>11</v>
      </c>
      <c r="E246">
        <v>2</v>
      </c>
      <c r="F246">
        <v>9</v>
      </c>
      <c r="G246">
        <v>878</v>
      </c>
      <c r="H246">
        <f t="shared" si="9"/>
        <v>79.818181818181813</v>
      </c>
      <c r="I246">
        <f t="shared" si="10"/>
        <v>439</v>
      </c>
      <c r="J246">
        <f t="shared" si="11"/>
        <v>97.555555555555557</v>
      </c>
    </row>
    <row r="247" spans="1:10" x14ac:dyDescent="0.25">
      <c r="A247">
        <v>274</v>
      </c>
      <c r="B247" t="s">
        <v>280</v>
      </c>
      <c r="C247">
        <v>6</v>
      </c>
      <c r="D247">
        <v>5</v>
      </c>
      <c r="E247">
        <v>0</v>
      </c>
      <c r="F247">
        <v>5</v>
      </c>
      <c r="G247">
        <v>918</v>
      </c>
      <c r="H247">
        <f t="shared" si="9"/>
        <v>183.6</v>
      </c>
      <c r="I247" t="e">
        <f t="shared" si="10"/>
        <v>#DIV/0!</v>
      </c>
      <c r="J247">
        <f t="shared" si="11"/>
        <v>183.6</v>
      </c>
    </row>
    <row r="248" spans="1:10" x14ac:dyDescent="0.25">
      <c r="A248">
        <v>209</v>
      </c>
      <c r="B248" t="s">
        <v>215</v>
      </c>
      <c r="C248">
        <v>6</v>
      </c>
      <c r="D248">
        <v>5</v>
      </c>
      <c r="E248">
        <v>2</v>
      </c>
      <c r="F248">
        <v>3</v>
      </c>
      <c r="G248">
        <v>919</v>
      </c>
      <c r="H248">
        <f t="shared" si="9"/>
        <v>183.8</v>
      </c>
      <c r="I248">
        <f t="shared" si="10"/>
        <v>459.5</v>
      </c>
      <c r="J248">
        <f t="shared" si="11"/>
        <v>306.33333333333331</v>
      </c>
    </row>
    <row r="249" spans="1:10" x14ac:dyDescent="0.25">
      <c r="A249">
        <v>36</v>
      </c>
      <c r="B249" t="s">
        <v>42</v>
      </c>
      <c r="C249">
        <v>8</v>
      </c>
      <c r="D249">
        <v>6</v>
      </c>
      <c r="E249">
        <v>1</v>
      </c>
      <c r="F249">
        <v>5</v>
      </c>
      <c r="G249">
        <v>961</v>
      </c>
      <c r="H249">
        <f t="shared" si="9"/>
        <v>160.16666666666666</v>
      </c>
      <c r="I249">
        <f t="shared" si="10"/>
        <v>961</v>
      </c>
      <c r="J249">
        <f t="shared" si="11"/>
        <v>192.2</v>
      </c>
    </row>
    <row r="250" spans="1:10" x14ac:dyDescent="0.25">
      <c r="A250">
        <v>251</v>
      </c>
      <c r="B250" t="s">
        <v>257</v>
      </c>
      <c r="C250">
        <v>11</v>
      </c>
      <c r="D250">
        <v>5</v>
      </c>
      <c r="E250">
        <v>1</v>
      </c>
      <c r="F250">
        <v>4</v>
      </c>
      <c r="G250">
        <v>973</v>
      </c>
      <c r="H250">
        <f t="shared" si="9"/>
        <v>194.6</v>
      </c>
      <c r="I250">
        <f t="shared" si="10"/>
        <v>973</v>
      </c>
      <c r="J250">
        <f t="shared" si="11"/>
        <v>243.25</v>
      </c>
    </row>
    <row r="251" spans="1:10" x14ac:dyDescent="0.25">
      <c r="A251">
        <v>396</v>
      </c>
      <c r="B251" t="s">
        <v>402</v>
      </c>
      <c r="C251">
        <v>7</v>
      </c>
      <c r="D251">
        <v>6</v>
      </c>
      <c r="E251">
        <v>0</v>
      </c>
      <c r="F251">
        <v>6</v>
      </c>
      <c r="G251">
        <v>985</v>
      </c>
      <c r="H251">
        <f t="shared" si="9"/>
        <v>164.16666666666666</v>
      </c>
      <c r="I251" t="e">
        <f t="shared" si="10"/>
        <v>#DIV/0!</v>
      </c>
      <c r="J251">
        <f t="shared" si="11"/>
        <v>164.16666666666666</v>
      </c>
    </row>
    <row r="252" spans="1:10" x14ac:dyDescent="0.25">
      <c r="A252">
        <v>247</v>
      </c>
      <c r="B252" t="s">
        <v>253</v>
      </c>
      <c r="C252">
        <v>10</v>
      </c>
      <c r="D252">
        <v>6</v>
      </c>
      <c r="E252">
        <v>1</v>
      </c>
      <c r="F252">
        <v>5</v>
      </c>
      <c r="G252">
        <v>986</v>
      </c>
      <c r="H252">
        <f t="shared" si="9"/>
        <v>164.33333333333334</v>
      </c>
      <c r="I252">
        <f t="shared" si="10"/>
        <v>986</v>
      </c>
      <c r="J252">
        <f t="shared" si="11"/>
        <v>197.2</v>
      </c>
    </row>
    <row r="253" spans="1:10" x14ac:dyDescent="0.25">
      <c r="A253">
        <v>275</v>
      </c>
      <c r="B253" t="s">
        <v>281</v>
      </c>
      <c r="C253">
        <v>5</v>
      </c>
      <c r="D253">
        <v>4</v>
      </c>
      <c r="E253">
        <v>0</v>
      </c>
      <c r="F253">
        <v>4</v>
      </c>
      <c r="G253">
        <v>987</v>
      </c>
      <c r="H253">
        <f t="shared" si="9"/>
        <v>246.75</v>
      </c>
      <c r="I253" t="e">
        <f t="shared" si="10"/>
        <v>#DIV/0!</v>
      </c>
      <c r="J253">
        <f t="shared" si="11"/>
        <v>246.75</v>
      </c>
    </row>
    <row r="254" spans="1:10" x14ac:dyDescent="0.25">
      <c r="A254">
        <v>387</v>
      </c>
      <c r="B254" t="s">
        <v>393</v>
      </c>
      <c r="C254">
        <v>8</v>
      </c>
      <c r="D254">
        <v>2</v>
      </c>
      <c r="E254">
        <v>1</v>
      </c>
      <c r="F254">
        <v>1</v>
      </c>
      <c r="G254">
        <v>991</v>
      </c>
      <c r="H254">
        <f t="shared" si="9"/>
        <v>495.5</v>
      </c>
      <c r="I254">
        <f t="shared" si="10"/>
        <v>991</v>
      </c>
      <c r="J254">
        <f t="shared" si="11"/>
        <v>991</v>
      </c>
    </row>
    <row r="255" spans="1:10" x14ac:dyDescent="0.25">
      <c r="A255">
        <v>124</v>
      </c>
      <c r="B255" t="s">
        <v>130</v>
      </c>
      <c r="C255">
        <v>9</v>
      </c>
      <c r="D255">
        <v>8</v>
      </c>
      <c r="E255">
        <v>2</v>
      </c>
      <c r="F255">
        <v>6</v>
      </c>
      <c r="G255">
        <v>998</v>
      </c>
      <c r="H255">
        <f t="shared" si="9"/>
        <v>124.75</v>
      </c>
      <c r="I255">
        <f t="shared" si="10"/>
        <v>499</v>
      </c>
      <c r="J255">
        <f t="shared" si="11"/>
        <v>166.33333333333334</v>
      </c>
    </row>
    <row r="256" spans="1:10" x14ac:dyDescent="0.25">
      <c r="A256">
        <v>403</v>
      </c>
      <c r="B256" t="s">
        <v>409</v>
      </c>
      <c r="C256">
        <v>6</v>
      </c>
      <c r="D256">
        <v>5</v>
      </c>
      <c r="E256">
        <v>1</v>
      </c>
      <c r="F256">
        <v>4</v>
      </c>
      <c r="G256">
        <v>1000</v>
      </c>
      <c r="H256">
        <f t="shared" si="9"/>
        <v>200</v>
      </c>
      <c r="I256">
        <f t="shared" si="10"/>
        <v>1000</v>
      </c>
      <c r="J256">
        <f t="shared" si="11"/>
        <v>250</v>
      </c>
    </row>
    <row r="257" spans="1:10" x14ac:dyDescent="0.25">
      <c r="A257">
        <v>167</v>
      </c>
      <c r="B257" t="s">
        <v>173</v>
      </c>
      <c r="C257">
        <v>11</v>
      </c>
      <c r="D257">
        <v>6</v>
      </c>
      <c r="E257">
        <v>1</v>
      </c>
      <c r="F257">
        <v>5</v>
      </c>
      <c r="G257">
        <v>1019</v>
      </c>
      <c r="H257">
        <f t="shared" si="9"/>
        <v>169.83333333333334</v>
      </c>
      <c r="I257">
        <f t="shared" si="10"/>
        <v>1019</v>
      </c>
      <c r="J257">
        <f t="shared" si="11"/>
        <v>203.8</v>
      </c>
    </row>
    <row r="258" spans="1:10" x14ac:dyDescent="0.25">
      <c r="A258">
        <v>246</v>
      </c>
      <c r="B258" t="s">
        <v>252</v>
      </c>
      <c r="C258">
        <v>7</v>
      </c>
      <c r="D258">
        <v>4</v>
      </c>
      <c r="E258">
        <v>0</v>
      </c>
      <c r="F258">
        <v>4</v>
      </c>
      <c r="G258">
        <v>1024</v>
      </c>
      <c r="H258">
        <f t="shared" ref="H258:H321" si="12">G258/D258</f>
        <v>256</v>
      </c>
      <c r="I258" t="e">
        <f t="shared" ref="I258:I321" si="13">G258/E258</f>
        <v>#DIV/0!</v>
      </c>
      <c r="J258">
        <f t="shared" ref="J258:J321" si="14">G258/F258</f>
        <v>256</v>
      </c>
    </row>
    <row r="259" spans="1:10" x14ac:dyDescent="0.25">
      <c r="A259">
        <v>70</v>
      </c>
      <c r="B259" t="s">
        <v>76</v>
      </c>
      <c r="C259">
        <v>5</v>
      </c>
      <c r="D259">
        <v>3</v>
      </c>
      <c r="E259">
        <v>0</v>
      </c>
      <c r="F259">
        <v>3</v>
      </c>
      <c r="G259">
        <v>1039</v>
      </c>
      <c r="H259">
        <f t="shared" si="12"/>
        <v>346.33333333333331</v>
      </c>
      <c r="I259" t="e">
        <f t="shared" si="13"/>
        <v>#DIV/0!</v>
      </c>
      <c r="J259">
        <f t="shared" si="14"/>
        <v>346.33333333333331</v>
      </c>
    </row>
    <row r="260" spans="1:10" x14ac:dyDescent="0.25">
      <c r="A260">
        <v>264</v>
      </c>
      <c r="B260" t="s">
        <v>270</v>
      </c>
      <c r="C260">
        <v>11</v>
      </c>
      <c r="D260">
        <v>8</v>
      </c>
      <c r="E260">
        <v>3</v>
      </c>
      <c r="F260">
        <v>5</v>
      </c>
      <c r="G260">
        <v>1056</v>
      </c>
      <c r="H260">
        <f t="shared" si="12"/>
        <v>132</v>
      </c>
      <c r="I260">
        <f t="shared" si="13"/>
        <v>352</v>
      </c>
      <c r="J260">
        <f t="shared" si="14"/>
        <v>211.2</v>
      </c>
    </row>
    <row r="261" spans="1:10" x14ac:dyDescent="0.25">
      <c r="A261">
        <v>373</v>
      </c>
      <c r="B261" t="s">
        <v>379</v>
      </c>
      <c r="C261">
        <v>22</v>
      </c>
      <c r="D261">
        <v>4</v>
      </c>
      <c r="E261">
        <v>0</v>
      </c>
      <c r="F261">
        <v>4</v>
      </c>
      <c r="G261">
        <v>1066</v>
      </c>
      <c r="H261">
        <f t="shared" si="12"/>
        <v>266.5</v>
      </c>
      <c r="I261" t="e">
        <f t="shared" si="13"/>
        <v>#DIV/0!</v>
      </c>
      <c r="J261">
        <f t="shared" si="14"/>
        <v>266.5</v>
      </c>
    </row>
    <row r="262" spans="1:10" x14ac:dyDescent="0.25">
      <c r="A262">
        <v>35</v>
      </c>
      <c r="B262" t="s">
        <v>41</v>
      </c>
      <c r="C262">
        <v>11</v>
      </c>
      <c r="D262">
        <v>8</v>
      </c>
      <c r="E262">
        <v>2</v>
      </c>
      <c r="F262">
        <v>6</v>
      </c>
      <c r="G262">
        <v>1079</v>
      </c>
      <c r="H262">
        <f t="shared" si="12"/>
        <v>134.875</v>
      </c>
      <c r="I262">
        <f t="shared" si="13"/>
        <v>539.5</v>
      </c>
      <c r="J262">
        <f t="shared" si="14"/>
        <v>179.83333333333334</v>
      </c>
    </row>
    <row r="263" spans="1:10" x14ac:dyDescent="0.25">
      <c r="A263">
        <v>44</v>
      </c>
      <c r="B263" t="s">
        <v>50</v>
      </c>
      <c r="C263">
        <v>9</v>
      </c>
      <c r="D263">
        <v>8</v>
      </c>
      <c r="E263">
        <v>1</v>
      </c>
      <c r="F263">
        <v>7</v>
      </c>
      <c r="G263">
        <v>1106</v>
      </c>
      <c r="H263">
        <f t="shared" si="12"/>
        <v>138.25</v>
      </c>
      <c r="I263">
        <f t="shared" si="13"/>
        <v>1106</v>
      </c>
      <c r="J263">
        <f t="shared" si="14"/>
        <v>158</v>
      </c>
    </row>
    <row r="264" spans="1:10" x14ac:dyDescent="0.25">
      <c r="A264">
        <v>398</v>
      </c>
      <c r="B264" t="s">
        <v>404</v>
      </c>
      <c r="C264">
        <v>10</v>
      </c>
      <c r="D264">
        <v>5</v>
      </c>
      <c r="E264">
        <v>0</v>
      </c>
      <c r="F264">
        <v>5</v>
      </c>
      <c r="G264">
        <v>1109</v>
      </c>
      <c r="H264">
        <f t="shared" si="12"/>
        <v>221.8</v>
      </c>
      <c r="I264" t="e">
        <f t="shared" si="13"/>
        <v>#DIV/0!</v>
      </c>
      <c r="J264">
        <f t="shared" si="14"/>
        <v>221.8</v>
      </c>
    </row>
    <row r="265" spans="1:10" x14ac:dyDescent="0.25">
      <c r="A265">
        <v>239</v>
      </c>
      <c r="B265" t="s">
        <v>245</v>
      </c>
      <c r="C265">
        <v>14</v>
      </c>
      <c r="D265">
        <v>9</v>
      </c>
      <c r="E265">
        <v>3</v>
      </c>
      <c r="F265">
        <v>6</v>
      </c>
      <c r="G265">
        <v>1114</v>
      </c>
      <c r="H265">
        <f t="shared" si="12"/>
        <v>123.77777777777777</v>
      </c>
      <c r="I265">
        <f t="shared" si="13"/>
        <v>371.33333333333331</v>
      </c>
      <c r="J265">
        <f t="shared" si="14"/>
        <v>185.66666666666666</v>
      </c>
    </row>
    <row r="266" spans="1:10" x14ac:dyDescent="0.25">
      <c r="A266">
        <v>344</v>
      </c>
      <c r="B266" t="s">
        <v>350</v>
      </c>
      <c r="C266">
        <v>5</v>
      </c>
      <c r="D266">
        <v>2</v>
      </c>
      <c r="E266">
        <v>0</v>
      </c>
      <c r="F266">
        <v>2</v>
      </c>
      <c r="G266">
        <v>1123</v>
      </c>
      <c r="H266">
        <f t="shared" si="12"/>
        <v>561.5</v>
      </c>
      <c r="I266" t="e">
        <f t="shared" si="13"/>
        <v>#DIV/0!</v>
      </c>
      <c r="J266">
        <f t="shared" si="14"/>
        <v>561.5</v>
      </c>
    </row>
    <row r="267" spans="1:10" x14ac:dyDescent="0.25">
      <c r="A267">
        <v>45</v>
      </c>
      <c r="B267" t="s">
        <v>51</v>
      </c>
      <c r="C267">
        <v>8</v>
      </c>
      <c r="D267">
        <v>6</v>
      </c>
      <c r="E267">
        <v>0</v>
      </c>
      <c r="F267">
        <v>6</v>
      </c>
      <c r="G267">
        <v>1126</v>
      </c>
      <c r="H267">
        <f t="shared" si="12"/>
        <v>187.66666666666666</v>
      </c>
      <c r="I267" t="e">
        <f t="shared" si="13"/>
        <v>#DIV/0!</v>
      </c>
      <c r="J267">
        <f t="shared" si="14"/>
        <v>187.66666666666666</v>
      </c>
    </row>
    <row r="268" spans="1:10" x14ac:dyDescent="0.25">
      <c r="A268">
        <v>104</v>
      </c>
      <c r="B268" t="s">
        <v>110</v>
      </c>
      <c r="C268">
        <v>11</v>
      </c>
      <c r="D268">
        <v>5</v>
      </c>
      <c r="E268">
        <v>2</v>
      </c>
      <c r="F268">
        <v>3</v>
      </c>
      <c r="G268">
        <v>1134</v>
      </c>
      <c r="H268">
        <f t="shared" si="12"/>
        <v>226.8</v>
      </c>
      <c r="I268">
        <f t="shared" si="13"/>
        <v>567</v>
      </c>
      <c r="J268">
        <f t="shared" si="14"/>
        <v>378</v>
      </c>
    </row>
    <row r="269" spans="1:10" x14ac:dyDescent="0.25">
      <c r="A269">
        <v>238</v>
      </c>
      <c r="B269" t="s">
        <v>244</v>
      </c>
      <c r="C269">
        <v>8</v>
      </c>
      <c r="D269">
        <v>7</v>
      </c>
      <c r="E269">
        <v>3</v>
      </c>
      <c r="F269">
        <v>4</v>
      </c>
      <c r="G269">
        <v>1137</v>
      </c>
      <c r="H269">
        <f t="shared" si="12"/>
        <v>162.42857142857142</v>
      </c>
      <c r="I269">
        <f t="shared" si="13"/>
        <v>379</v>
      </c>
      <c r="J269">
        <f t="shared" si="14"/>
        <v>284.25</v>
      </c>
    </row>
    <row r="270" spans="1:10" x14ac:dyDescent="0.25">
      <c r="A270">
        <v>372</v>
      </c>
      <c r="B270" t="s">
        <v>378</v>
      </c>
      <c r="C270">
        <v>7</v>
      </c>
      <c r="D270">
        <v>4</v>
      </c>
      <c r="E270">
        <v>2</v>
      </c>
      <c r="F270">
        <v>2</v>
      </c>
      <c r="G270">
        <v>1187</v>
      </c>
      <c r="H270">
        <f t="shared" si="12"/>
        <v>296.75</v>
      </c>
      <c r="I270">
        <f t="shared" si="13"/>
        <v>593.5</v>
      </c>
      <c r="J270">
        <f t="shared" si="14"/>
        <v>593.5</v>
      </c>
    </row>
    <row r="271" spans="1:10" x14ac:dyDescent="0.25">
      <c r="A271">
        <v>364</v>
      </c>
      <c r="B271" t="s">
        <v>370</v>
      </c>
      <c r="C271">
        <v>6</v>
      </c>
      <c r="D271">
        <v>4</v>
      </c>
      <c r="E271">
        <v>1</v>
      </c>
      <c r="F271">
        <v>3</v>
      </c>
      <c r="G271">
        <v>1198</v>
      </c>
      <c r="H271">
        <f t="shared" si="12"/>
        <v>299.5</v>
      </c>
      <c r="I271">
        <f t="shared" si="13"/>
        <v>1198</v>
      </c>
      <c r="J271">
        <f t="shared" si="14"/>
        <v>399.33333333333331</v>
      </c>
    </row>
    <row r="272" spans="1:10" x14ac:dyDescent="0.25">
      <c r="A272">
        <v>266</v>
      </c>
      <c r="B272" t="s">
        <v>272</v>
      </c>
      <c r="C272">
        <v>7</v>
      </c>
      <c r="D272">
        <v>4</v>
      </c>
      <c r="E272">
        <v>2</v>
      </c>
      <c r="F272">
        <v>2</v>
      </c>
      <c r="G272">
        <v>1208</v>
      </c>
      <c r="H272">
        <f t="shared" si="12"/>
        <v>302</v>
      </c>
      <c r="I272">
        <f t="shared" si="13"/>
        <v>604</v>
      </c>
      <c r="J272">
        <f t="shared" si="14"/>
        <v>604</v>
      </c>
    </row>
    <row r="273" spans="1:10" x14ac:dyDescent="0.25">
      <c r="A273">
        <v>263</v>
      </c>
      <c r="B273" t="s">
        <v>269</v>
      </c>
      <c r="C273">
        <v>16</v>
      </c>
      <c r="D273">
        <v>11</v>
      </c>
      <c r="E273">
        <v>1</v>
      </c>
      <c r="F273">
        <v>10</v>
      </c>
      <c r="G273">
        <v>1222</v>
      </c>
      <c r="H273">
        <f t="shared" si="12"/>
        <v>111.09090909090909</v>
      </c>
      <c r="I273">
        <f t="shared" si="13"/>
        <v>1222</v>
      </c>
      <c r="J273">
        <f t="shared" si="14"/>
        <v>122.2</v>
      </c>
    </row>
    <row r="274" spans="1:10" x14ac:dyDescent="0.25">
      <c r="A274">
        <v>394</v>
      </c>
      <c r="B274" t="s">
        <v>400</v>
      </c>
      <c r="C274">
        <v>18</v>
      </c>
      <c r="D274">
        <v>13</v>
      </c>
      <c r="E274">
        <v>6</v>
      </c>
      <c r="F274">
        <v>7</v>
      </c>
      <c r="G274">
        <v>1283</v>
      </c>
      <c r="H274">
        <f t="shared" si="12"/>
        <v>98.692307692307693</v>
      </c>
      <c r="I274">
        <f t="shared" si="13"/>
        <v>213.83333333333334</v>
      </c>
      <c r="J274">
        <f t="shared" si="14"/>
        <v>183.28571428571428</v>
      </c>
    </row>
    <row r="275" spans="1:10" x14ac:dyDescent="0.25">
      <c r="A275">
        <v>125</v>
      </c>
      <c r="B275" t="s">
        <v>131</v>
      </c>
      <c r="C275">
        <v>12</v>
      </c>
      <c r="D275">
        <v>8</v>
      </c>
      <c r="E275">
        <v>0</v>
      </c>
      <c r="F275">
        <v>8</v>
      </c>
      <c r="G275">
        <v>1290</v>
      </c>
      <c r="H275">
        <f t="shared" si="12"/>
        <v>161.25</v>
      </c>
      <c r="I275" t="e">
        <f t="shared" si="13"/>
        <v>#DIV/0!</v>
      </c>
      <c r="J275">
        <f t="shared" si="14"/>
        <v>161.25</v>
      </c>
    </row>
    <row r="276" spans="1:10" x14ac:dyDescent="0.25">
      <c r="A276">
        <v>249</v>
      </c>
      <c r="B276" t="s">
        <v>255</v>
      </c>
      <c r="C276">
        <v>7</v>
      </c>
      <c r="D276">
        <v>3</v>
      </c>
      <c r="E276">
        <v>2</v>
      </c>
      <c r="F276">
        <v>1</v>
      </c>
      <c r="G276">
        <v>1342</v>
      </c>
      <c r="H276">
        <f t="shared" si="12"/>
        <v>447.33333333333331</v>
      </c>
      <c r="I276">
        <f t="shared" si="13"/>
        <v>671</v>
      </c>
      <c r="J276">
        <f t="shared" si="14"/>
        <v>1342</v>
      </c>
    </row>
    <row r="277" spans="1:10" x14ac:dyDescent="0.25">
      <c r="A277">
        <v>63</v>
      </c>
      <c r="B277" t="s">
        <v>69</v>
      </c>
      <c r="C277">
        <v>13</v>
      </c>
      <c r="D277">
        <v>2</v>
      </c>
      <c r="E277">
        <v>1</v>
      </c>
      <c r="F277">
        <v>1</v>
      </c>
      <c r="G277">
        <v>1369</v>
      </c>
      <c r="H277">
        <f t="shared" si="12"/>
        <v>684.5</v>
      </c>
      <c r="I277">
        <f t="shared" si="13"/>
        <v>1369</v>
      </c>
      <c r="J277">
        <f t="shared" si="14"/>
        <v>1369</v>
      </c>
    </row>
    <row r="278" spans="1:10" x14ac:dyDescent="0.25">
      <c r="A278">
        <v>225</v>
      </c>
      <c r="B278" t="s">
        <v>231</v>
      </c>
      <c r="C278">
        <v>17</v>
      </c>
      <c r="D278">
        <v>13</v>
      </c>
      <c r="E278">
        <v>4</v>
      </c>
      <c r="F278">
        <v>9</v>
      </c>
      <c r="G278">
        <v>1372</v>
      </c>
      <c r="H278">
        <f t="shared" si="12"/>
        <v>105.53846153846153</v>
      </c>
      <c r="I278">
        <f t="shared" si="13"/>
        <v>343</v>
      </c>
      <c r="J278">
        <f t="shared" si="14"/>
        <v>152.44444444444446</v>
      </c>
    </row>
    <row r="279" spans="1:10" x14ac:dyDescent="0.25">
      <c r="A279">
        <v>26</v>
      </c>
      <c r="B279" t="s">
        <v>32</v>
      </c>
      <c r="C279">
        <v>9</v>
      </c>
      <c r="D279">
        <v>7</v>
      </c>
      <c r="E279">
        <v>2</v>
      </c>
      <c r="F279">
        <v>5</v>
      </c>
      <c r="G279">
        <v>1397</v>
      </c>
      <c r="H279">
        <f t="shared" si="12"/>
        <v>199.57142857142858</v>
      </c>
      <c r="I279">
        <f t="shared" si="13"/>
        <v>698.5</v>
      </c>
      <c r="J279">
        <f t="shared" si="14"/>
        <v>279.39999999999998</v>
      </c>
    </row>
    <row r="280" spans="1:10" x14ac:dyDescent="0.25">
      <c r="A280">
        <v>357</v>
      </c>
      <c r="B280" t="s">
        <v>363</v>
      </c>
      <c r="C280">
        <v>15</v>
      </c>
      <c r="D280">
        <v>8</v>
      </c>
      <c r="E280">
        <v>1</v>
      </c>
      <c r="F280">
        <v>7</v>
      </c>
      <c r="G280">
        <v>1404</v>
      </c>
      <c r="H280">
        <f t="shared" si="12"/>
        <v>175.5</v>
      </c>
      <c r="I280">
        <f t="shared" si="13"/>
        <v>1404</v>
      </c>
      <c r="J280">
        <f t="shared" si="14"/>
        <v>200.57142857142858</v>
      </c>
    </row>
    <row r="281" spans="1:10" x14ac:dyDescent="0.25">
      <c r="A281">
        <v>115</v>
      </c>
      <c r="B281" t="s">
        <v>121</v>
      </c>
      <c r="C281">
        <v>11</v>
      </c>
      <c r="D281">
        <v>7</v>
      </c>
      <c r="E281">
        <v>2</v>
      </c>
      <c r="F281">
        <v>5</v>
      </c>
      <c r="G281">
        <v>1405</v>
      </c>
      <c r="H281">
        <f t="shared" si="12"/>
        <v>200.71428571428572</v>
      </c>
      <c r="I281">
        <f t="shared" si="13"/>
        <v>702.5</v>
      </c>
      <c r="J281">
        <f t="shared" si="14"/>
        <v>281</v>
      </c>
    </row>
    <row r="282" spans="1:10" x14ac:dyDescent="0.25">
      <c r="A282">
        <v>282</v>
      </c>
      <c r="B282" t="s">
        <v>288</v>
      </c>
      <c r="C282">
        <v>5</v>
      </c>
      <c r="D282">
        <v>4</v>
      </c>
      <c r="E282">
        <v>0</v>
      </c>
      <c r="F282">
        <v>4</v>
      </c>
      <c r="G282">
        <v>1418</v>
      </c>
      <c r="H282">
        <f t="shared" si="12"/>
        <v>354.5</v>
      </c>
      <c r="I282" t="e">
        <f t="shared" si="13"/>
        <v>#DIV/0!</v>
      </c>
      <c r="J282">
        <f t="shared" si="14"/>
        <v>354.5</v>
      </c>
    </row>
    <row r="283" spans="1:10" x14ac:dyDescent="0.25">
      <c r="A283">
        <v>242</v>
      </c>
      <c r="B283" t="s">
        <v>248</v>
      </c>
      <c r="C283">
        <v>13</v>
      </c>
      <c r="D283">
        <v>7</v>
      </c>
      <c r="E283">
        <v>2</v>
      </c>
      <c r="F283">
        <v>5</v>
      </c>
      <c r="G283">
        <v>1443</v>
      </c>
      <c r="H283">
        <f t="shared" si="12"/>
        <v>206.14285714285714</v>
      </c>
      <c r="I283">
        <f t="shared" si="13"/>
        <v>721.5</v>
      </c>
      <c r="J283">
        <f t="shared" si="14"/>
        <v>288.60000000000002</v>
      </c>
    </row>
    <row r="284" spans="1:10" x14ac:dyDescent="0.25">
      <c r="A284">
        <v>205</v>
      </c>
      <c r="B284" t="s">
        <v>211</v>
      </c>
      <c r="C284">
        <v>14</v>
      </c>
      <c r="D284">
        <v>3</v>
      </c>
      <c r="E284">
        <v>1</v>
      </c>
      <c r="F284">
        <v>2</v>
      </c>
      <c r="G284">
        <v>1449</v>
      </c>
      <c r="H284">
        <f t="shared" si="12"/>
        <v>483</v>
      </c>
      <c r="I284">
        <f t="shared" si="13"/>
        <v>1449</v>
      </c>
      <c r="J284">
        <f t="shared" si="14"/>
        <v>724.5</v>
      </c>
    </row>
    <row r="285" spans="1:10" x14ac:dyDescent="0.25">
      <c r="A285">
        <v>89</v>
      </c>
      <c r="B285" t="s">
        <v>95</v>
      </c>
      <c r="C285">
        <v>19</v>
      </c>
      <c r="D285">
        <v>12</v>
      </c>
      <c r="E285">
        <v>7</v>
      </c>
      <c r="F285">
        <v>5</v>
      </c>
      <c r="G285">
        <v>1532</v>
      </c>
      <c r="H285">
        <f t="shared" si="12"/>
        <v>127.66666666666667</v>
      </c>
      <c r="I285">
        <f t="shared" si="13"/>
        <v>218.85714285714286</v>
      </c>
      <c r="J285">
        <f t="shared" si="14"/>
        <v>306.39999999999998</v>
      </c>
    </row>
    <row r="286" spans="1:10" x14ac:dyDescent="0.25">
      <c r="A286">
        <v>293</v>
      </c>
      <c r="B286" t="s">
        <v>299</v>
      </c>
      <c r="C286">
        <v>11</v>
      </c>
      <c r="D286">
        <v>5</v>
      </c>
      <c r="E286">
        <v>1</v>
      </c>
      <c r="F286">
        <v>4</v>
      </c>
      <c r="G286">
        <v>1535</v>
      </c>
      <c r="H286">
        <f t="shared" si="12"/>
        <v>307</v>
      </c>
      <c r="I286">
        <f t="shared" si="13"/>
        <v>1535</v>
      </c>
      <c r="J286">
        <f t="shared" si="14"/>
        <v>383.75</v>
      </c>
    </row>
    <row r="287" spans="1:10" x14ac:dyDescent="0.25">
      <c r="A287">
        <v>342</v>
      </c>
      <c r="B287" t="s">
        <v>348</v>
      </c>
      <c r="C287">
        <v>8</v>
      </c>
      <c r="D287">
        <v>6</v>
      </c>
      <c r="E287">
        <v>0</v>
      </c>
      <c r="F287">
        <v>6</v>
      </c>
      <c r="G287">
        <v>1556</v>
      </c>
      <c r="H287">
        <f t="shared" si="12"/>
        <v>259.33333333333331</v>
      </c>
      <c r="I287" t="e">
        <f t="shared" si="13"/>
        <v>#DIV/0!</v>
      </c>
      <c r="J287">
        <f t="shared" si="14"/>
        <v>259.33333333333331</v>
      </c>
    </row>
    <row r="288" spans="1:10" x14ac:dyDescent="0.25">
      <c r="A288">
        <v>338</v>
      </c>
      <c r="B288" t="s">
        <v>344</v>
      </c>
      <c r="C288">
        <v>21</v>
      </c>
      <c r="D288">
        <v>9</v>
      </c>
      <c r="E288">
        <v>8</v>
      </c>
      <c r="F288">
        <v>1</v>
      </c>
      <c r="G288">
        <v>1560</v>
      </c>
      <c r="H288">
        <f t="shared" si="12"/>
        <v>173.33333333333334</v>
      </c>
      <c r="I288">
        <f t="shared" si="13"/>
        <v>195</v>
      </c>
      <c r="J288">
        <f t="shared" si="14"/>
        <v>1560</v>
      </c>
    </row>
    <row r="289" spans="1:10" x14ac:dyDescent="0.25">
      <c r="A289">
        <v>71</v>
      </c>
      <c r="B289" t="s">
        <v>77</v>
      </c>
      <c r="C289">
        <v>17</v>
      </c>
      <c r="D289">
        <v>15</v>
      </c>
      <c r="E289">
        <v>2</v>
      </c>
      <c r="F289">
        <v>13</v>
      </c>
      <c r="G289">
        <v>1576</v>
      </c>
      <c r="H289">
        <f t="shared" si="12"/>
        <v>105.06666666666666</v>
      </c>
      <c r="I289">
        <f t="shared" si="13"/>
        <v>788</v>
      </c>
      <c r="J289">
        <f t="shared" si="14"/>
        <v>121.23076923076923</v>
      </c>
    </row>
    <row r="290" spans="1:10" x14ac:dyDescent="0.25">
      <c r="A290">
        <v>195</v>
      </c>
      <c r="B290" t="s">
        <v>201</v>
      </c>
      <c r="C290">
        <v>13</v>
      </c>
      <c r="D290">
        <v>10</v>
      </c>
      <c r="E290">
        <v>6</v>
      </c>
      <c r="F290">
        <v>4</v>
      </c>
      <c r="G290">
        <v>1584</v>
      </c>
      <c r="H290">
        <f t="shared" si="12"/>
        <v>158.4</v>
      </c>
      <c r="I290">
        <f t="shared" si="13"/>
        <v>264</v>
      </c>
      <c r="J290">
        <f t="shared" si="14"/>
        <v>396</v>
      </c>
    </row>
    <row r="291" spans="1:10" x14ac:dyDescent="0.25">
      <c r="A291">
        <v>339</v>
      </c>
      <c r="B291" t="s">
        <v>345</v>
      </c>
      <c r="C291">
        <v>7</v>
      </c>
      <c r="D291">
        <v>4</v>
      </c>
      <c r="E291">
        <v>4</v>
      </c>
      <c r="F291">
        <v>0</v>
      </c>
      <c r="G291">
        <v>1620</v>
      </c>
      <c r="H291">
        <f t="shared" si="12"/>
        <v>405</v>
      </c>
      <c r="I291">
        <f t="shared" si="13"/>
        <v>405</v>
      </c>
      <c r="J291" t="e">
        <f t="shared" si="14"/>
        <v>#DIV/0!</v>
      </c>
    </row>
    <row r="292" spans="1:10" x14ac:dyDescent="0.25">
      <c r="A292">
        <v>207</v>
      </c>
      <c r="B292" t="s">
        <v>213</v>
      </c>
      <c r="C292">
        <v>11</v>
      </c>
      <c r="D292">
        <v>9</v>
      </c>
      <c r="E292">
        <v>4</v>
      </c>
      <c r="F292">
        <v>5</v>
      </c>
      <c r="G292">
        <v>1625</v>
      </c>
      <c r="H292">
        <f t="shared" si="12"/>
        <v>180.55555555555554</v>
      </c>
      <c r="I292">
        <f t="shared" si="13"/>
        <v>406.25</v>
      </c>
      <c r="J292">
        <f t="shared" si="14"/>
        <v>325</v>
      </c>
    </row>
    <row r="293" spans="1:10" x14ac:dyDescent="0.25">
      <c r="A293">
        <v>316</v>
      </c>
      <c r="B293" t="s">
        <v>322</v>
      </c>
      <c r="C293">
        <v>11</v>
      </c>
      <c r="D293">
        <v>7</v>
      </c>
      <c r="E293">
        <v>2</v>
      </c>
      <c r="F293">
        <v>5</v>
      </c>
      <c r="G293">
        <v>1654</v>
      </c>
      <c r="H293">
        <f t="shared" si="12"/>
        <v>236.28571428571428</v>
      </c>
      <c r="I293">
        <f t="shared" si="13"/>
        <v>827</v>
      </c>
      <c r="J293">
        <f t="shared" si="14"/>
        <v>330.8</v>
      </c>
    </row>
    <row r="294" spans="1:10" x14ac:dyDescent="0.25">
      <c r="A294">
        <v>366</v>
      </c>
      <c r="B294" t="s">
        <v>372</v>
      </c>
      <c r="C294">
        <v>3</v>
      </c>
      <c r="D294">
        <v>2</v>
      </c>
      <c r="E294">
        <v>0</v>
      </c>
      <c r="F294">
        <v>2</v>
      </c>
      <c r="G294">
        <v>1656</v>
      </c>
      <c r="H294">
        <f t="shared" si="12"/>
        <v>828</v>
      </c>
      <c r="I294" t="e">
        <f t="shared" si="13"/>
        <v>#DIV/0!</v>
      </c>
      <c r="J294">
        <f t="shared" si="14"/>
        <v>828</v>
      </c>
    </row>
    <row r="295" spans="1:10" x14ac:dyDescent="0.25">
      <c r="A295">
        <v>298</v>
      </c>
      <c r="B295" t="s">
        <v>304</v>
      </c>
      <c r="C295">
        <v>11</v>
      </c>
      <c r="D295">
        <v>7</v>
      </c>
      <c r="E295">
        <v>2</v>
      </c>
      <c r="F295">
        <v>5</v>
      </c>
      <c r="G295">
        <v>1672</v>
      </c>
      <c r="H295">
        <f t="shared" si="12"/>
        <v>238.85714285714286</v>
      </c>
      <c r="I295">
        <f t="shared" si="13"/>
        <v>836</v>
      </c>
      <c r="J295">
        <f t="shared" si="14"/>
        <v>334.4</v>
      </c>
    </row>
    <row r="296" spans="1:10" x14ac:dyDescent="0.25">
      <c r="A296">
        <v>340</v>
      </c>
      <c r="B296" t="s">
        <v>346</v>
      </c>
      <c r="C296">
        <v>18</v>
      </c>
      <c r="D296">
        <v>5</v>
      </c>
      <c r="E296">
        <v>2</v>
      </c>
      <c r="F296">
        <v>3</v>
      </c>
      <c r="G296">
        <v>1679</v>
      </c>
      <c r="H296">
        <f t="shared" si="12"/>
        <v>335.8</v>
      </c>
      <c r="I296">
        <f t="shared" si="13"/>
        <v>839.5</v>
      </c>
      <c r="J296">
        <f t="shared" si="14"/>
        <v>559.66666666666663</v>
      </c>
    </row>
    <row r="297" spans="1:10" x14ac:dyDescent="0.25">
      <c r="A297">
        <v>25</v>
      </c>
      <c r="B297" t="s">
        <v>31</v>
      </c>
      <c r="C297">
        <v>6</v>
      </c>
      <c r="D297">
        <v>5</v>
      </c>
      <c r="E297">
        <v>3</v>
      </c>
      <c r="F297">
        <v>2</v>
      </c>
      <c r="G297">
        <v>1687</v>
      </c>
      <c r="H297">
        <f t="shared" si="12"/>
        <v>337.4</v>
      </c>
      <c r="I297">
        <f t="shared" si="13"/>
        <v>562.33333333333337</v>
      </c>
      <c r="J297">
        <f t="shared" si="14"/>
        <v>843.5</v>
      </c>
    </row>
    <row r="298" spans="1:10" x14ac:dyDescent="0.25">
      <c r="A298">
        <v>272</v>
      </c>
      <c r="B298" t="s">
        <v>278</v>
      </c>
      <c r="C298">
        <v>12</v>
      </c>
      <c r="D298">
        <v>11</v>
      </c>
      <c r="E298">
        <v>1</v>
      </c>
      <c r="F298">
        <v>10</v>
      </c>
      <c r="G298">
        <v>1693</v>
      </c>
      <c r="H298">
        <f t="shared" si="12"/>
        <v>153.90909090909091</v>
      </c>
      <c r="I298">
        <f t="shared" si="13"/>
        <v>1693</v>
      </c>
      <c r="J298">
        <f t="shared" si="14"/>
        <v>169.3</v>
      </c>
    </row>
    <row r="299" spans="1:10" x14ac:dyDescent="0.25">
      <c r="A299">
        <v>240</v>
      </c>
      <c r="B299" t="s">
        <v>246</v>
      </c>
      <c r="C299">
        <v>9</v>
      </c>
      <c r="D299">
        <v>6</v>
      </c>
      <c r="E299">
        <v>0</v>
      </c>
      <c r="F299">
        <v>6</v>
      </c>
      <c r="G299">
        <v>1707</v>
      </c>
      <c r="H299">
        <f t="shared" si="12"/>
        <v>284.5</v>
      </c>
      <c r="I299" t="e">
        <f t="shared" si="13"/>
        <v>#DIV/0!</v>
      </c>
      <c r="J299">
        <f t="shared" si="14"/>
        <v>284.5</v>
      </c>
    </row>
    <row r="300" spans="1:10" x14ac:dyDescent="0.25">
      <c r="A300">
        <v>250</v>
      </c>
      <c r="B300" t="s">
        <v>256</v>
      </c>
      <c r="C300">
        <v>10</v>
      </c>
      <c r="D300">
        <v>4</v>
      </c>
      <c r="E300">
        <v>1</v>
      </c>
      <c r="F300">
        <v>3</v>
      </c>
      <c r="G300">
        <v>1710</v>
      </c>
      <c r="H300">
        <f t="shared" si="12"/>
        <v>427.5</v>
      </c>
      <c r="I300">
        <f t="shared" si="13"/>
        <v>1710</v>
      </c>
      <c r="J300">
        <f t="shared" si="14"/>
        <v>570</v>
      </c>
    </row>
    <row r="301" spans="1:10" x14ac:dyDescent="0.25">
      <c r="A301">
        <v>10</v>
      </c>
      <c r="B301" t="s">
        <v>16</v>
      </c>
      <c r="C301">
        <v>10</v>
      </c>
      <c r="D301">
        <v>9</v>
      </c>
      <c r="E301">
        <v>3</v>
      </c>
      <c r="F301">
        <v>6</v>
      </c>
      <c r="G301">
        <v>1733</v>
      </c>
      <c r="H301">
        <f t="shared" si="12"/>
        <v>192.55555555555554</v>
      </c>
      <c r="I301">
        <f t="shared" si="13"/>
        <v>577.66666666666663</v>
      </c>
      <c r="J301">
        <f t="shared" si="14"/>
        <v>288.83333333333331</v>
      </c>
    </row>
    <row r="302" spans="1:10" x14ac:dyDescent="0.25">
      <c r="A302">
        <v>159</v>
      </c>
      <c r="B302" t="s">
        <v>165</v>
      </c>
      <c r="C302">
        <v>3</v>
      </c>
      <c r="D302">
        <v>2</v>
      </c>
      <c r="E302">
        <v>1</v>
      </c>
      <c r="F302">
        <v>1</v>
      </c>
      <c r="G302">
        <v>1746</v>
      </c>
      <c r="H302">
        <f t="shared" si="12"/>
        <v>873</v>
      </c>
      <c r="I302">
        <f t="shared" si="13"/>
        <v>1746</v>
      </c>
      <c r="J302">
        <f t="shared" si="14"/>
        <v>1746</v>
      </c>
    </row>
    <row r="303" spans="1:10" x14ac:dyDescent="0.25">
      <c r="A303">
        <v>14</v>
      </c>
      <c r="B303" t="s">
        <v>20</v>
      </c>
      <c r="C303">
        <v>4</v>
      </c>
      <c r="D303">
        <v>3</v>
      </c>
      <c r="E303">
        <v>2</v>
      </c>
      <c r="F303">
        <v>1</v>
      </c>
      <c r="G303">
        <v>1757</v>
      </c>
      <c r="H303">
        <f t="shared" si="12"/>
        <v>585.66666666666663</v>
      </c>
      <c r="I303">
        <f t="shared" si="13"/>
        <v>878.5</v>
      </c>
      <c r="J303">
        <f t="shared" si="14"/>
        <v>1757</v>
      </c>
    </row>
    <row r="304" spans="1:10" x14ac:dyDescent="0.25">
      <c r="A304">
        <v>294</v>
      </c>
      <c r="B304" t="s">
        <v>300</v>
      </c>
      <c r="C304">
        <v>12</v>
      </c>
      <c r="D304">
        <v>9</v>
      </c>
      <c r="E304">
        <v>2</v>
      </c>
      <c r="F304">
        <v>7</v>
      </c>
      <c r="G304">
        <v>1770</v>
      </c>
      <c r="H304">
        <f t="shared" si="12"/>
        <v>196.66666666666666</v>
      </c>
      <c r="I304">
        <f t="shared" si="13"/>
        <v>885</v>
      </c>
      <c r="J304">
        <f t="shared" si="14"/>
        <v>252.85714285714286</v>
      </c>
    </row>
    <row r="305" spans="1:10" x14ac:dyDescent="0.25">
      <c r="A305">
        <v>172</v>
      </c>
      <c r="B305" t="s">
        <v>178</v>
      </c>
      <c r="C305">
        <v>11</v>
      </c>
      <c r="D305">
        <v>8</v>
      </c>
      <c r="E305">
        <v>2</v>
      </c>
      <c r="F305">
        <v>6</v>
      </c>
      <c r="G305">
        <v>1796</v>
      </c>
      <c r="H305">
        <f t="shared" si="12"/>
        <v>224.5</v>
      </c>
      <c r="I305">
        <f t="shared" si="13"/>
        <v>898</v>
      </c>
      <c r="J305">
        <f t="shared" si="14"/>
        <v>299.33333333333331</v>
      </c>
    </row>
    <row r="306" spans="1:10" x14ac:dyDescent="0.25">
      <c r="A306">
        <v>109</v>
      </c>
      <c r="B306" t="s">
        <v>115</v>
      </c>
      <c r="C306">
        <v>18</v>
      </c>
      <c r="D306">
        <v>9</v>
      </c>
      <c r="E306">
        <v>3</v>
      </c>
      <c r="F306">
        <v>6</v>
      </c>
      <c r="G306">
        <v>1813</v>
      </c>
      <c r="H306">
        <f t="shared" si="12"/>
        <v>201.44444444444446</v>
      </c>
      <c r="I306">
        <f t="shared" si="13"/>
        <v>604.33333333333337</v>
      </c>
      <c r="J306">
        <f t="shared" si="14"/>
        <v>302.16666666666669</v>
      </c>
    </row>
    <row r="307" spans="1:10" x14ac:dyDescent="0.25">
      <c r="A307">
        <v>143</v>
      </c>
      <c r="B307" t="s">
        <v>149</v>
      </c>
      <c r="C307">
        <v>12</v>
      </c>
      <c r="D307">
        <v>4</v>
      </c>
      <c r="E307">
        <v>2</v>
      </c>
      <c r="F307">
        <v>2</v>
      </c>
      <c r="G307">
        <v>1853</v>
      </c>
      <c r="H307">
        <f t="shared" si="12"/>
        <v>463.25</v>
      </c>
      <c r="I307">
        <f t="shared" si="13"/>
        <v>926.5</v>
      </c>
      <c r="J307">
        <f t="shared" si="14"/>
        <v>926.5</v>
      </c>
    </row>
    <row r="308" spans="1:10" x14ac:dyDescent="0.25">
      <c r="A308">
        <v>300</v>
      </c>
      <c r="B308" t="s">
        <v>306</v>
      </c>
      <c r="C308">
        <v>7</v>
      </c>
      <c r="D308">
        <v>6</v>
      </c>
      <c r="E308">
        <v>4</v>
      </c>
      <c r="F308">
        <v>2</v>
      </c>
      <c r="G308">
        <v>1860</v>
      </c>
      <c r="H308">
        <f t="shared" si="12"/>
        <v>310</v>
      </c>
      <c r="I308">
        <f t="shared" si="13"/>
        <v>465</v>
      </c>
      <c r="J308">
        <f t="shared" si="14"/>
        <v>930</v>
      </c>
    </row>
    <row r="309" spans="1:10" x14ac:dyDescent="0.25">
      <c r="A309">
        <v>197</v>
      </c>
      <c r="B309" t="s">
        <v>203</v>
      </c>
      <c r="C309">
        <v>2</v>
      </c>
      <c r="D309">
        <v>1</v>
      </c>
      <c r="E309">
        <v>0</v>
      </c>
      <c r="F309">
        <v>1</v>
      </c>
      <c r="G309">
        <v>1860</v>
      </c>
      <c r="H309">
        <f t="shared" si="12"/>
        <v>1860</v>
      </c>
      <c r="I309" t="e">
        <f t="shared" si="13"/>
        <v>#DIV/0!</v>
      </c>
      <c r="J309">
        <f t="shared" si="14"/>
        <v>1860</v>
      </c>
    </row>
    <row r="310" spans="1:10" x14ac:dyDescent="0.25">
      <c r="A310">
        <v>62</v>
      </c>
      <c r="B310" t="s">
        <v>68</v>
      </c>
      <c r="C310">
        <v>13</v>
      </c>
      <c r="D310">
        <v>12</v>
      </c>
      <c r="E310">
        <v>5</v>
      </c>
      <c r="F310">
        <v>7</v>
      </c>
      <c r="G310">
        <v>1888</v>
      </c>
      <c r="H310">
        <f t="shared" si="12"/>
        <v>157.33333333333334</v>
      </c>
      <c r="I310">
        <f t="shared" si="13"/>
        <v>377.6</v>
      </c>
      <c r="J310">
        <f t="shared" si="14"/>
        <v>269.71428571428572</v>
      </c>
    </row>
    <row r="311" spans="1:10" x14ac:dyDescent="0.25">
      <c r="A311">
        <v>306</v>
      </c>
      <c r="B311" t="s">
        <v>312</v>
      </c>
      <c r="C311">
        <v>11</v>
      </c>
      <c r="D311">
        <v>7</v>
      </c>
      <c r="E311">
        <v>1</v>
      </c>
      <c r="F311">
        <v>6</v>
      </c>
      <c r="G311">
        <v>1892</v>
      </c>
      <c r="H311">
        <f t="shared" si="12"/>
        <v>270.28571428571428</v>
      </c>
      <c r="I311">
        <f t="shared" si="13"/>
        <v>1892</v>
      </c>
      <c r="J311">
        <f t="shared" si="14"/>
        <v>315.33333333333331</v>
      </c>
    </row>
    <row r="312" spans="1:10" x14ac:dyDescent="0.25">
      <c r="A312">
        <v>233</v>
      </c>
      <c r="B312" t="s">
        <v>239</v>
      </c>
      <c r="C312">
        <v>14</v>
      </c>
      <c r="D312">
        <v>11</v>
      </c>
      <c r="E312">
        <v>1</v>
      </c>
      <c r="F312">
        <v>10</v>
      </c>
      <c r="G312">
        <v>1917</v>
      </c>
      <c r="H312">
        <f t="shared" si="12"/>
        <v>174.27272727272728</v>
      </c>
      <c r="I312">
        <f t="shared" si="13"/>
        <v>1917</v>
      </c>
      <c r="J312">
        <f t="shared" si="14"/>
        <v>191.7</v>
      </c>
    </row>
    <row r="313" spans="1:10" x14ac:dyDescent="0.25">
      <c r="A313">
        <v>257</v>
      </c>
      <c r="B313" t="s">
        <v>263</v>
      </c>
      <c r="C313">
        <v>11</v>
      </c>
      <c r="D313">
        <v>5</v>
      </c>
      <c r="E313">
        <v>0</v>
      </c>
      <c r="F313">
        <v>5</v>
      </c>
      <c r="G313">
        <v>1946</v>
      </c>
      <c r="H313">
        <f t="shared" si="12"/>
        <v>389.2</v>
      </c>
      <c r="I313" t="e">
        <f t="shared" si="13"/>
        <v>#DIV/0!</v>
      </c>
      <c r="J313">
        <f t="shared" si="14"/>
        <v>389.2</v>
      </c>
    </row>
    <row r="314" spans="1:10" x14ac:dyDescent="0.25">
      <c r="A314">
        <v>278</v>
      </c>
      <c r="B314" t="s">
        <v>284</v>
      </c>
      <c r="C314">
        <v>17</v>
      </c>
      <c r="D314">
        <v>7</v>
      </c>
      <c r="E314">
        <v>3</v>
      </c>
      <c r="F314">
        <v>4</v>
      </c>
      <c r="G314">
        <v>1958</v>
      </c>
      <c r="H314">
        <f t="shared" si="12"/>
        <v>279.71428571428572</v>
      </c>
      <c r="I314">
        <f t="shared" si="13"/>
        <v>652.66666666666663</v>
      </c>
      <c r="J314">
        <f t="shared" si="14"/>
        <v>489.5</v>
      </c>
    </row>
    <row r="315" spans="1:10" x14ac:dyDescent="0.25">
      <c r="A315">
        <v>154</v>
      </c>
      <c r="B315" t="s">
        <v>160</v>
      </c>
      <c r="C315">
        <v>6</v>
      </c>
      <c r="D315">
        <v>5</v>
      </c>
      <c r="E315">
        <v>0</v>
      </c>
      <c r="F315">
        <v>5</v>
      </c>
      <c r="G315">
        <v>1981</v>
      </c>
      <c r="H315">
        <f t="shared" si="12"/>
        <v>396.2</v>
      </c>
      <c r="I315" t="e">
        <f t="shared" si="13"/>
        <v>#DIV/0!</v>
      </c>
      <c r="J315">
        <f t="shared" si="14"/>
        <v>396.2</v>
      </c>
    </row>
    <row r="316" spans="1:10" x14ac:dyDescent="0.25">
      <c r="A316">
        <v>12</v>
      </c>
      <c r="B316" t="s">
        <v>18</v>
      </c>
      <c r="C316">
        <v>12</v>
      </c>
      <c r="D316">
        <v>11</v>
      </c>
      <c r="E316">
        <v>5</v>
      </c>
      <c r="F316">
        <v>6</v>
      </c>
      <c r="G316">
        <v>1984</v>
      </c>
      <c r="H316">
        <f t="shared" si="12"/>
        <v>180.36363636363637</v>
      </c>
      <c r="I316">
        <f t="shared" si="13"/>
        <v>396.8</v>
      </c>
      <c r="J316">
        <f t="shared" si="14"/>
        <v>330.66666666666669</v>
      </c>
    </row>
    <row r="317" spans="1:10" x14ac:dyDescent="0.25">
      <c r="A317">
        <v>248</v>
      </c>
      <c r="B317" t="s">
        <v>254</v>
      </c>
      <c r="C317">
        <v>8</v>
      </c>
      <c r="D317">
        <v>3</v>
      </c>
      <c r="E317">
        <v>1</v>
      </c>
      <c r="F317">
        <v>2</v>
      </c>
      <c r="G317">
        <v>1992</v>
      </c>
      <c r="H317">
        <f t="shared" si="12"/>
        <v>664</v>
      </c>
      <c r="I317">
        <f t="shared" si="13"/>
        <v>1992</v>
      </c>
      <c r="J317">
        <f t="shared" si="14"/>
        <v>996</v>
      </c>
    </row>
    <row r="318" spans="1:10" x14ac:dyDescent="0.25">
      <c r="A318">
        <v>140</v>
      </c>
      <c r="B318" t="s">
        <v>146</v>
      </c>
      <c r="C318">
        <v>16</v>
      </c>
      <c r="D318">
        <v>15</v>
      </c>
      <c r="E318">
        <v>9</v>
      </c>
      <c r="F318">
        <v>6</v>
      </c>
      <c r="G318">
        <v>2001</v>
      </c>
      <c r="H318">
        <f t="shared" si="12"/>
        <v>133.4</v>
      </c>
      <c r="I318">
        <f t="shared" si="13"/>
        <v>222.33333333333334</v>
      </c>
      <c r="J318">
        <f t="shared" si="14"/>
        <v>333.5</v>
      </c>
    </row>
    <row r="319" spans="1:10" x14ac:dyDescent="0.25">
      <c r="A319">
        <v>67</v>
      </c>
      <c r="B319" t="s">
        <v>73</v>
      </c>
      <c r="C319">
        <v>3</v>
      </c>
      <c r="D319">
        <v>2</v>
      </c>
      <c r="E319">
        <v>1</v>
      </c>
      <c r="F319">
        <v>1</v>
      </c>
      <c r="G319">
        <v>2003</v>
      </c>
      <c r="H319">
        <f t="shared" si="12"/>
        <v>1001.5</v>
      </c>
      <c r="I319">
        <f t="shared" si="13"/>
        <v>2003</v>
      </c>
      <c r="J319">
        <f t="shared" si="14"/>
        <v>2003</v>
      </c>
    </row>
    <row r="320" spans="1:10" x14ac:dyDescent="0.25">
      <c r="A320">
        <v>48</v>
      </c>
      <c r="B320" t="s">
        <v>54</v>
      </c>
      <c r="C320">
        <v>15</v>
      </c>
      <c r="D320">
        <v>13</v>
      </c>
      <c r="E320">
        <v>2</v>
      </c>
      <c r="F320">
        <v>11</v>
      </c>
      <c r="G320">
        <v>2039</v>
      </c>
      <c r="H320">
        <f t="shared" si="12"/>
        <v>156.84615384615384</v>
      </c>
      <c r="I320">
        <f t="shared" si="13"/>
        <v>1019.5</v>
      </c>
      <c r="J320">
        <f t="shared" si="14"/>
        <v>185.36363636363637</v>
      </c>
    </row>
    <row r="321" spans="1:10" x14ac:dyDescent="0.25">
      <c r="A321">
        <v>310</v>
      </c>
      <c r="B321" t="s">
        <v>316</v>
      </c>
      <c r="C321">
        <v>9</v>
      </c>
      <c r="D321">
        <v>8</v>
      </c>
      <c r="E321">
        <v>3</v>
      </c>
      <c r="F321">
        <v>5</v>
      </c>
      <c r="G321">
        <v>2046</v>
      </c>
      <c r="H321">
        <f t="shared" si="12"/>
        <v>255.75</v>
      </c>
      <c r="I321">
        <f t="shared" si="13"/>
        <v>682</v>
      </c>
      <c r="J321">
        <f t="shared" si="14"/>
        <v>409.2</v>
      </c>
    </row>
    <row r="322" spans="1:10" x14ac:dyDescent="0.25">
      <c r="A322">
        <v>326</v>
      </c>
      <c r="B322" t="s">
        <v>332</v>
      </c>
      <c r="C322">
        <v>9</v>
      </c>
      <c r="D322">
        <v>2</v>
      </c>
      <c r="E322">
        <v>1</v>
      </c>
      <c r="F322">
        <v>1</v>
      </c>
      <c r="G322">
        <v>2052</v>
      </c>
      <c r="H322">
        <f t="shared" ref="H322:H385" si="15">G322/D322</f>
        <v>1026</v>
      </c>
      <c r="I322">
        <f t="shared" ref="I322:I385" si="16">G322/E322</f>
        <v>2052</v>
      </c>
      <c r="J322">
        <f t="shared" ref="J322:J385" si="17">G322/F322</f>
        <v>2052</v>
      </c>
    </row>
    <row r="323" spans="1:10" x14ac:dyDescent="0.25">
      <c r="A323">
        <v>86</v>
      </c>
      <c r="B323" t="s">
        <v>92</v>
      </c>
      <c r="C323">
        <v>6</v>
      </c>
      <c r="D323">
        <v>4</v>
      </c>
      <c r="E323">
        <v>1</v>
      </c>
      <c r="F323">
        <v>3</v>
      </c>
      <c r="G323">
        <v>2061</v>
      </c>
      <c r="H323">
        <f t="shared" si="15"/>
        <v>515.25</v>
      </c>
      <c r="I323">
        <f t="shared" si="16"/>
        <v>2061</v>
      </c>
      <c r="J323">
        <f t="shared" si="17"/>
        <v>687</v>
      </c>
    </row>
    <row r="324" spans="1:10" x14ac:dyDescent="0.25">
      <c r="A324">
        <v>259</v>
      </c>
      <c r="B324" t="s">
        <v>265</v>
      </c>
      <c r="C324">
        <v>10</v>
      </c>
      <c r="D324">
        <v>5</v>
      </c>
      <c r="E324">
        <v>0</v>
      </c>
      <c r="F324">
        <v>5</v>
      </c>
      <c r="G324">
        <v>2070</v>
      </c>
      <c r="H324">
        <f t="shared" si="15"/>
        <v>414</v>
      </c>
      <c r="I324" t="e">
        <f t="shared" si="16"/>
        <v>#DIV/0!</v>
      </c>
      <c r="J324">
        <f t="shared" si="17"/>
        <v>414</v>
      </c>
    </row>
    <row r="325" spans="1:10" x14ac:dyDescent="0.25">
      <c r="A325">
        <v>232</v>
      </c>
      <c r="B325" t="s">
        <v>238</v>
      </c>
      <c r="C325">
        <v>21</v>
      </c>
      <c r="D325">
        <v>20</v>
      </c>
      <c r="E325">
        <v>8</v>
      </c>
      <c r="F325">
        <v>12</v>
      </c>
      <c r="G325">
        <v>2072</v>
      </c>
      <c r="H325">
        <f t="shared" si="15"/>
        <v>103.6</v>
      </c>
      <c r="I325">
        <f t="shared" si="16"/>
        <v>259</v>
      </c>
      <c r="J325">
        <f t="shared" si="17"/>
        <v>172.66666666666666</v>
      </c>
    </row>
    <row r="326" spans="1:10" x14ac:dyDescent="0.25">
      <c r="A326">
        <v>88</v>
      </c>
      <c r="B326" t="s">
        <v>94</v>
      </c>
      <c r="C326">
        <v>21</v>
      </c>
      <c r="D326">
        <v>17</v>
      </c>
      <c r="E326">
        <v>2</v>
      </c>
      <c r="F326">
        <v>15</v>
      </c>
      <c r="G326">
        <v>2098</v>
      </c>
      <c r="H326">
        <f t="shared" si="15"/>
        <v>123.41176470588235</v>
      </c>
      <c r="I326">
        <f t="shared" si="16"/>
        <v>1049</v>
      </c>
      <c r="J326">
        <f t="shared" si="17"/>
        <v>139.86666666666667</v>
      </c>
    </row>
    <row r="327" spans="1:10" x14ac:dyDescent="0.25">
      <c r="A327">
        <v>157</v>
      </c>
      <c r="B327" t="s">
        <v>163</v>
      </c>
      <c r="C327">
        <v>12</v>
      </c>
      <c r="D327">
        <v>10</v>
      </c>
      <c r="E327">
        <v>2</v>
      </c>
      <c r="F327">
        <v>8</v>
      </c>
      <c r="G327">
        <v>2104</v>
      </c>
      <c r="H327">
        <f t="shared" si="15"/>
        <v>210.4</v>
      </c>
      <c r="I327">
        <f t="shared" si="16"/>
        <v>1052</v>
      </c>
      <c r="J327">
        <f t="shared" si="17"/>
        <v>263</v>
      </c>
    </row>
    <row r="328" spans="1:10" x14ac:dyDescent="0.25">
      <c r="A328">
        <v>97</v>
      </c>
      <c r="B328" t="s">
        <v>103</v>
      </c>
      <c r="C328">
        <v>22</v>
      </c>
      <c r="D328">
        <v>5</v>
      </c>
      <c r="E328">
        <v>1</v>
      </c>
      <c r="F328">
        <v>4</v>
      </c>
      <c r="G328">
        <v>2111</v>
      </c>
      <c r="H328">
        <f t="shared" si="15"/>
        <v>422.2</v>
      </c>
      <c r="I328">
        <f t="shared" si="16"/>
        <v>2111</v>
      </c>
      <c r="J328">
        <f t="shared" si="17"/>
        <v>527.75</v>
      </c>
    </row>
    <row r="329" spans="1:10" x14ac:dyDescent="0.25">
      <c r="A329">
        <v>287</v>
      </c>
      <c r="B329" t="s">
        <v>293</v>
      </c>
      <c r="C329">
        <v>10</v>
      </c>
      <c r="D329">
        <v>3</v>
      </c>
      <c r="E329">
        <v>1</v>
      </c>
      <c r="F329">
        <v>2</v>
      </c>
      <c r="G329">
        <v>2141</v>
      </c>
      <c r="H329">
        <f t="shared" si="15"/>
        <v>713.66666666666663</v>
      </c>
      <c r="I329">
        <f t="shared" si="16"/>
        <v>2141</v>
      </c>
      <c r="J329">
        <f t="shared" si="17"/>
        <v>1070.5</v>
      </c>
    </row>
    <row r="330" spans="1:10" x14ac:dyDescent="0.25">
      <c r="A330">
        <v>59</v>
      </c>
      <c r="B330" t="s">
        <v>65</v>
      </c>
      <c r="C330">
        <v>4</v>
      </c>
      <c r="D330">
        <v>3</v>
      </c>
      <c r="E330">
        <v>1</v>
      </c>
      <c r="F330">
        <v>2</v>
      </c>
      <c r="G330">
        <v>2150</v>
      </c>
      <c r="H330">
        <f t="shared" si="15"/>
        <v>716.66666666666663</v>
      </c>
      <c r="I330">
        <f t="shared" si="16"/>
        <v>2150</v>
      </c>
      <c r="J330">
        <f t="shared" si="17"/>
        <v>1075</v>
      </c>
    </row>
    <row r="331" spans="1:10" x14ac:dyDescent="0.25">
      <c r="A331">
        <v>183</v>
      </c>
      <c r="B331" t="s">
        <v>189</v>
      </c>
      <c r="C331">
        <v>13</v>
      </c>
      <c r="D331">
        <v>7</v>
      </c>
      <c r="E331">
        <v>1</v>
      </c>
      <c r="F331">
        <v>6</v>
      </c>
      <c r="G331">
        <v>2165</v>
      </c>
      <c r="H331">
        <f t="shared" si="15"/>
        <v>309.28571428571428</v>
      </c>
      <c r="I331">
        <f t="shared" si="16"/>
        <v>2165</v>
      </c>
      <c r="J331">
        <f t="shared" si="17"/>
        <v>360.83333333333331</v>
      </c>
    </row>
    <row r="332" spans="1:10" x14ac:dyDescent="0.25">
      <c r="A332">
        <v>220</v>
      </c>
      <c r="B332" t="s">
        <v>226</v>
      </c>
      <c r="C332">
        <v>14</v>
      </c>
      <c r="D332">
        <v>8</v>
      </c>
      <c r="E332">
        <v>1</v>
      </c>
      <c r="F332">
        <v>7</v>
      </c>
      <c r="G332">
        <v>2191</v>
      </c>
      <c r="H332">
        <f t="shared" si="15"/>
        <v>273.875</v>
      </c>
      <c r="I332">
        <f t="shared" si="16"/>
        <v>2191</v>
      </c>
      <c r="J332">
        <f t="shared" si="17"/>
        <v>313</v>
      </c>
    </row>
    <row r="333" spans="1:10" x14ac:dyDescent="0.25">
      <c r="A333">
        <v>292</v>
      </c>
      <c r="B333" t="s">
        <v>298</v>
      </c>
      <c r="C333">
        <v>4</v>
      </c>
      <c r="D333">
        <v>3</v>
      </c>
      <c r="E333">
        <v>0</v>
      </c>
      <c r="F333">
        <v>3</v>
      </c>
      <c r="G333">
        <v>2201</v>
      </c>
      <c r="H333">
        <f t="shared" si="15"/>
        <v>733.66666666666663</v>
      </c>
      <c r="I333" t="e">
        <f t="shared" si="16"/>
        <v>#DIV/0!</v>
      </c>
      <c r="J333">
        <f t="shared" si="17"/>
        <v>733.66666666666663</v>
      </c>
    </row>
    <row r="334" spans="1:10" x14ac:dyDescent="0.25">
      <c r="A334">
        <v>176</v>
      </c>
      <c r="B334" t="s">
        <v>182</v>
      </c>
      <c r="C334">
        <v>16</v>
      </c>
      <c r="D334">
        <v>1</v>
      </c>
      <c r="E334">
        <v>0</v>
      </c>
      <c r="F334">
        <v>1</v>
      </c>
      <c r="G334">
        <v>2205</v>
      </c>
      <c r="H334">
        <f t="shared" si="15"/>
        <v>2205</v>
      </c>
      <c r="I334" t="e">
        <f t="shared" si="16"/>
        <v>#DIV/0!</v>
      </c>
      <c r="J334">
        <f t="shared" si="17"/>
        <v>2205</v>
      </c>
    </row>
    <row r="335" spans="1:10" x14ac:dyDescent="0.25">
      <c r="A335">
        <v>130</v>
      </c>
      <c r="B335" t="s">
        <v>136</v>
      </c>
      <c r="C335">
        <v>10</v>
      </c>
      <c r="D335">
        <v>6</v>
      </c>
      <c r="E335">
        <v>0</v>
      </c>
      <c r="F335">
        <v>6</v>
      </c>
      <c r="G335">
        <v>2214</v>
      </c>
      <c r="H335">
        <f t="shared" si="15"/>
        <v>369</v>
      </c>
      <c r="I335" t="e">
        <f t="shared" si="16"/>
        <v>#DIV/0!</v>
      </c>
      <c r="J335">
        <f t="shared" si="17"/>
        <v>369</v>
      </c>
    </row>
    <row r="336" spans="1:10" x14ac:dyDescent="0.25">
      <c r="A336">
        <v>211</v>
      </c>
      <c r="B336" t="s">
        <v>217</v>
      </c>
      <c r="C336">
        <v>29</v>
      </c>
      <c r="D336">
        <v>25</v>
      </c>
      <c r="E336">
        <v>8</v>
      </c>
      <c r="F336">
        <v>17</v>
      </c>
      <c r="G336">
        <v>2238</v>
      </c>
      <c r="H336">
        <f t="shared" si="15"/>
        <v>89.52</v>
      </c>
      <c r="I336">
        <f t="shared" si="16"/>
        <v>279.75</v>
      </c>
      <c r="J336">
        <f t="shared" si="17"/>
        <v>131.64705882352942</v>
      </c>
    </row>
    <row r="337" spans="1:10" x14ac:dyDescent="0.25">
      <c r="A337">
        <v>186</v>
      </c>
      <c r="B337" t="s">
        <v>192</v>
      </c>
      <c r="C337">
        <v>11</v>
      </c>
      <c r="D337">
        <v>5</v>
      </c>
      <c r="E337">
        <v>0</v>
      </c>
      <c r="F337">
        <v>5</v>
      </c>
      <c r="G337">
        <v>2255</v>
      </c>
      <c r="H337">
        <f t="shared" si="15"/>
        <v>451</v>
      </c>
      <c r="I337" t="e">
        <f t="shared" si="16"/>
        <v>#DIV/0!</v>
      </c>
      <c r="J337">
        <f t="shared" si="17"/>
        <v>451</v>
      </c>
    </row>
    <row r="338" spans="1:10" x14ac:dyDescent="0.25">
      <c r="A338">
        <v>217</v>
      </c>
      <c r="B338" t="s">
        <v>223</v>
      </c>
      <c r="C338">
        <v>17</v>
      </c>
      <c r="D338">
        <v>15</v>
      </c>
      <c r="E338">
        <v>5</v>
      </c>
      <c r="F338">
        <v>10</v>
      </c>
      <c r="G338">
        <v>2259</v>
      </c>
      <c r="H338">
        <f t="shared" si="15"/>
        <v>150.6</v>
      </c>
      <c r="I338">
        <f t="shared" si="16"/>
        <v>451.8</v>
      </c>
      <c r="J338">
        <f t="shared" si="17"/>
        <v>225.9</v>
      </c>
    </row>
    <row r="339" spans="1:10" x14ac:dyDescent="0.25">
      <c r="A339">
        <v>281</v>
      </c>
      <c r="B339" t="s">
        <v>287</v>
      </c>
      <c r="C339">
        <v>18</v>
      </c>
      <c r="D339">
        <v>17</v>
      </c>
      <c r="E339">
        <v>5</v>
      </c>
      <c r="F339">
        <v>12</v>
      </c>
      <c r="G339">
        <v>2288</v>
      </c>
      <c r="H339">
        <f t="shared" si="15"/>
        <v>134.58823529411765</v>
      </c>
      <c r="I339">
        <f t="shared" si="16"/>
        <v>457.6</v>
      </c>
      <c r="J339">
        <f t="shared" si="17"/>
        <v>190.66666666666666</v>
      </c>
    </row>
    <row r="340" spans="1:10" x14ac:dyDescent="0.25">
      <c r="A340">
        <v>304</v>
      </c>
      <c r="B340" t="s">
        <v>310</v>
      </c>
      <c r="C340">
        <v>10</v>
      </c>
      <c r="D340">
        <v>6</v>
      </c>
      <c r="E340">
        <v>1</v>
      </c>
      <c r="F340">
        <v>5</v>
      </c>
      <c r="G340">
        <v>2292</v>
      </c>
      <c r="H340">
        <f t="shared" si="15"/>
        <v>382</v>
      </c>
      <c r="I340">
        <f t="shared" si="16"/>
        <v>2292</v>
      </c>
      <c r="J340">
        <f t="shared" si="17"/>
        <v>458.4</v>
      </c>
    </row>
    <row r="341" spans="1:10" x14ac:dyDescent="0.25">
      <c r="A341">
        <v>245</v>
      </c>
      <c r="B341" t="s">
        <v>251</v>
      </c>
      <c r="C341">
        <v>14</v>
      </c>
      <c r="D341">
        <v>12</v>
      </c>
      <c r="E341">
        <v>4</v>
      </c>
      <c r="F341">
        <v>8</v>
      </c>
      <c r="G341">
        <v>2297</v>
      </c>
      <c r="H341">
        <f t="shared" si="15"/>
        <v>191.41666666666666</v>
      </c>
      <c r="I341">
        <f t="shared" si="16"/>
        <v>574.25</v>
      </c>
      <c r="J341">
        <f t="shared" si="17"/>
        <v>287.125</v>
      </c>
    </row>
    <row r="342" spans="1:10" x14ac:dyDescent="0.25">
      <c r="A342">
        <v>221</v>
      </c>
      <c r="B342" t="s">
        <v>227</v>
      </c>
      <c r="C342">
        <v>5</v>
      </c>
      <c r="D342">
        <v>4</v>
      </c>
      <c r="E342">
        <v>0</v>
      </c>
      <c r="F342">
        <v>4</v>
      </c>
      <c r="G342">
        <v>2301</v>
      </c>
      <c r="H342">
        <f t="shared" si="15"/>
        <v>575.25</v>
      </c>
      <c r="I342" t="e">
        <f t="shared" si="16"/>
        <v>#DIV/0!</v>
      </c>
      <c r="J342">
        <f t="shared" si="17"/>
        <v>575.25</v>
      </c>
    </row>
    <row r="343" spans="1:10" x14ac:dyDescent="0.25">
      <c r="A343">
        <v>256</v>
      </c>
      <c r="B343" t="s">
        <v>262</v>
      </c>
      <c r="C343">
        <v>8</v>
      </c>
      <c r="D343">
        <v>7</v>
      </c>
      <c r="E343">
        <v>4</v>
      </c>
      <c r="F343">
        <v>3</v>
      </c>
      <c r="G343">
        <v>2303</v>
      </c>
      <c r="H343">
        <f t="shared" si="15"/>
        <v>329</v>
      </c>
      <c r="I343">
        <f t="shared" si="16"/>
        <v>575.75</v>
      </c>
      <c r="J343">
        <f t="shared" si="17"/>
        <v>767.66666666666663</v>
      </c>
    </row>
    <row r="344" spans="1:10" x14ac:dyDescent="0.25">
      <c r="A344">
        <v>289</v>
      </c>
      <c r="B344" t="s">
        <v>295</v>
      </c>
      <c r="C344">
        <v>4</v>
      </c>
      <c r="D344">
        <v>3</v>
      </c>
      <c r="E344">
        <v>2</v>
      </c>
      <c r="F344">
        <v>1</v>
      </c>
      <c r="G344">
        <v>2305</v>
      </c>
      <c r="H344">
        <f t="shared" si="15"/>
        <v>768.33333333333337</v>
      </c>
      <c r="I344">
        <f t="shared" si="16"/>
        <v>1152.5</v>
      </c>
      <c r="J344">
        <f t="shared" si="17"/>
        <v>2305</v>
      </c>
    </row>
    <row r="345" spans="1:10" x14ac:dyDescent="0.25">
      <c r="A345">
        <v>61</v>
      </c>
      <c r="B345" t="s">
        <v>67</v>
      </c>
      <c r="C345">
        <v>7</v>
      </c>
      <c r="D345">
        <v>5</v>
      </c>
      <c r="E345">
        <v>2</v>
      </c>
      <c r="F345">
        <v>3</v>
      </c>
      <c r="G345">
        <v>2316</v>
      </c>
      <c r="H345">
        <f t="shared" si="15"/>
        <v>463.2</v>
      </c>
      <c r="I345">
        <f t="shared" si="16"/>
        <v>1158</v>
      </c>
      <c r="J345">
        <f t="shared" si="17"/>
        <v>772</v>
      </c>
    </row>
    <row r="346" spans="1:10" x14ac:dyDescent="0.25">
      <c r="A346">
        <v>296</v>
      </c>
      <c r="B346" t="s">
        <v>302</v>
      </c>
      <c r="C346">
        <v>14</v>
      </c>
      <c r="D346">
        <v>6</v>
      </c>
      <c r="E346">
        <v>0</v>
      </c>
      <c r="F346">
        <v>6</v>
      </c>
      <c r="G346">
        <v>2318</v>
      </c>
      <c r="H346">
        <f t="shared" si="15"/>
        <v>386.33333333333331</v>
      </c>
      <c r="I346" t="e">
        <f t="shared" si="16"/>
        <v>#DIV/0!</v>
      </c>
      <c r="J346">
        <f t="shared" si="17"/>
        <v>386.33333333333331</v>
      </c>
    </row>
    <row r="347" spans="1:10" x14ac:dyDescent="0.25">
      <c r="A347">
        <v>324</v>
      </c>
      <c r="B347" t="s">
        <v>330</v>
      </c>
      <c r="C347">
        <v>10</v>
      </c>
      <c r="D347">
        <v>4</v>
      </c>
      <c r="E347">
        <v>0</v>
      </c>
      <c r="F347">
        <v>4</v>
      </c>
      <c r="G347">
        <v>2320</v>
      </c>
      <c r="H347">
        <f t="shared" si="15"/>
        <v>580</v>
      </c>
      <c r="I347" t="e">
        <f t="shared" si="16"/>
        <v>#DIV/0!</v>
      </c>
      <c r="J347">
        <f t="shared" si="17"/>
        <v>580</v>
      </c>
    </row>
    <row r="348" spans="1:10" x14ac:dyDescent="0.25">
      <c r="A348">
        <v>305</v>
      </c>
      <c r="B348" t="s">
        <v>311</v>
      </c>
      <c r="C348">
        <v>16</v>
      </c>
      <c r="D348">
        <v>14</v>
      </c>
      <c r="E348">
        <v>4</v>
      </c>
      <c r="F348">
        <v>10</v>
      </c>
      <c r="G348">
        <v>2327</v>
      </c>
      <c r="H348">
        <f t="shared" si="15"/>
        <v>166.21428571428572</v>
      </c>
      <c r="I348">
        <f t="shared" si="16"/>
        <v>581.75</v>
      </c>
      <c r="J348">
        <f t="shared" si="17"/>
        <v>232.7</v>
      </c>
    </row>
    <row r="349" spans="1:10" x14ac:dyDescent="0.25">
      <c r="A349">
        <v>145</v>
      </c>
      <c r="B349" t="s">
        <v>151</v>
      </c>
      <c r="C349">
        <v>10</v>
      </c>
      <c r="D349">
        <v>4</v>
      </c>
      <c r="E349">
        <v>2</v>
      </c>
      <c r="F349">
        <v>2</v>
      </c>
      <c r="G349">
        <v>2327</v>
      </c>
      <c r="H349">
        <f t="shared" si="15"/>
        <v>581.75</v>
      </c>
      <c r="I349">
        <f t="shared" si="16"/>
        <v>1163.5</v>
      </c>
      <c r="J349">
        <f t="shared" si="17"/>
        <v>1163.5</v>
      </c>
    </row>
    <row r="350" spans="1:10" x14ac:dyDescent="0.25">
      <c r="A350">
        <v>24</v>
      </c>
      <c r="B350" t="s">
        <v>30</v>
      </c>
      <c r="C350">
        <v>10</v>
      </c>
      <c r="D350">
        <v>8</v>
      </c>
      <c r="E350">
        <v>4</v>
      </c>
      <c r="F350">
        <v>4</v>
      </c>
      <c r="G350">
        <v>2330</v>
      </c>
      <c r="H350">
        <f t="shared" si="15"/>
        <v>291.25</v>
      </c>
      <c r="I350">
        <f t="shared" si="16"/>
        <v>582.5</v>
      </c>
      <c r="J350">
        <f t="shared" si="17"/>
        <v>582.5</v>
      </c>
    </row>
    <row r="351" spans="1:10" x14ac:dyDescent="0.25">
      <c r="A351">
        <v>151</v>
      </c>
      <c r="B351" t="s">
        <v>157</v>
      </c>
      <c r="C351">
        <v>14</v>
      </c>
      <c r="D351">
        <v>12</v>
      </c>
      <c r="E351">
        <v>3</v>
      </c>
      <c r="F351">
        <v>9</v>
      </c>
      <c r="G351">
        <v>2349</v>
      </c>
      <c r="H351">
        <f t="shared" si="15"/>
        <v>195.75</v>
      </c>
      <c r="I351">
        <f t="shared" si="16"/>
        <v>783</v>
      </c>
      <c r="J351">
        <f t="shared" si="17"/>
        <v>261</v>
      </c>
    </row>
    <row r="352" spans="1:10" x14ac:dyDescent="0.25">
      <c r="A352">
        <v>99</v>
      </c>
      <c r="B352" t="s">
        <v>105</v>
      </c>
      <c r="C352">
        <v>13</v>
      </c>
      <c r="D352">
        <v>11</v>
      </c>
      <c r="E352">
        <v>1</v>
      </c>
      <c r="F352">
        <v>10</v>
      </c>
      <c r="G352">
        <v>2357</v>
      </c>
      <c r="H352">
        <f t="shared" si="15"/>
        <v>214.27272727272728</v>
      </c>
      <c r="I352">
        <f t="shared" si="16"/>
        <v>2357</v>
      </c>
      <c r="J352">
        <f t="shared" si="17"/>
        <v>235.7</v>
      </c>
    </row>
    <row r="353" spans="1:10" x14ac:dyDescent="0.25">
      <c r="A353">
        <v>33</v>
      </c>
      <c r="B353" t="s">
        <v>39</v>
      </c>
      <c r="C353">
        <v>14</v>
      </c>
      <c r="D353">
        <v>11</v>
      </c>
      <c r="E353">
        <v>4</v>
      </c>
      <c r="F353">
        <v>7</v>
      </c>
      <c r="G353">
        <v>2390</v>
      </c>
      <c r="H353">
        <f t="shared" si="15"/>
        <v>217.27272727272728</v>
      </c>
      <c r="I353">
        <f t="shared" si="16"/>
        <v>597.5</v>
      </c>
      <c r="J353">
        <f t="shared" si="17"/>
        <v>341.42857142857144</v>
      </c>
    </row>
    <row r="354" spans="1:10" x14ac:dyDescent="0.25">
      <c r="A354">
        <v>158</v>
      </c>
      <c r="B354" t="s">
        <v>164</v>
      </c>
      <c r="C354">
        <v>7</v>
      </c>
      <c r="D354">
        <v>6</v>
      </c>
      <c r="E354">
        <v>2</v>
      </c>
      <c r="F354">
        <v>4</v>
      </c>
      <c r="G354">
        <v>2391</v>
      </c>
      <c r="H354">
        <f t="shared" si="15"/>
        <v>398.5</v>
      </c>
      <c r="I354">
        <f t="shared" si="16"/>
        <v>1195.5</v>
      </c>
      <c r="J354">
        <f t="shared" si="17"/>
        <v>597.75</v>
      </c>
    </row>
    <row r="355" spans="1:10" x14ac:dyDescent="0.25">
      <c r="A355">
        <v>269</v>
      </c>
      <c r="B355" t="s">
        <v>275</v>
      </c>
      <c r="C355">
        <v>16</v>
      </c>
      <c r="D355">
        <v>12</v>
      </c>
      <c r="E355">
        <v>3</v>
      </c>
      <c r="F355">
        <v>9</v>
      </c>
      <c r="G355">
        <v>2396</v>
      </c>
      <c r="H355">
        <f t="shared" si="15"/>
        <v>199.66666666666666</v>
      </c>
      <c r="I355">
        <f t="shared" si="16"/>
        <v>798.66666666666663</v>
      </c>
      <c r="J355">
        <f t="shared" si="17"/>
        <v>266.22222222222223</v>
      </c>
    </row>
    <row r="356" spans="1:10" x14ac:dyDescent="0.25">
      <c r="A356">
        <v>23</v>
      </c>
      <c r="B356" t="s">
        <v>29</v>
      </c>
      <c r="C356">
        <v>6</v>
      </c>
      <c r="D356">
        <v>5</v>
      </c>
      <c r="E356">
        <v>2</v>
      </c>
      <c r="F356">
        <v>3</v>
      </c>
      <c r="G356">
        <v>2420</v>
      </c>
      <c r="H356">
        <f t="shared" si="15"/>
        <v>484</v>
      </c>
      <c r="I356">
        <f t="shared" si="16"/>
        <v>1210</v>
      </c>
      <c r="J356">
        <f t="shared" si="17"/>
        <v>806.66666666666663</v>
      </c>
    </row>
    <row r="357" spans="1:10" x14ac:dyDescent="0.25">
      <c r="A357">
        <v>241</v>
      </c>
      <c r="B357" t="s">
        <v>247</v>
      </c>
      <c r="C357">
        <v>11</v>
      </c>
      <c r="D357">
        <v>4</v>
      </c>
      <c r="E357">
        <v>1</v>
      </c>
      <c r="F357">
        <v>3</v>
      </c>
      <c r="G357">
        <v>2454</v>
      </c>
      <c r="H357">
        <f t="shared" si="15"/>
        <v>613.5</v>
      </c>
      <c r="I357">
        <f t="shared" si="16"/>
        <v>2454</v>
      </c>
      <c r="J357">
        <f t="shared" si="17"/>
        <v>818</v>
      </c>
    </row>
    <row r="358" spans="1:10" x14ac:dyDescent="0.25">
      <c r="A358">
        <v>126</v>
      </c>
      <c r="B358" t="s">
        <v>132</v>
      </c>
      <c r="C358">
        <v>7</v>
      </c>
      <c r="D358">
        <v>5</v>
      </c>
      <c r="E358">
        <v>2</v>
      </c>
      <c r="F358">
        <v>3</v>
      </c>
      <c r="G358">
        <v>2455</v>
      </c>
      <c r="H358">
        <f t="shared" si="15"/>
        <v>491</v>
      </c>
      <c r="I358">
        <f t="shared" si="16"/>
        <v>1227.5</v>
      </c>
      <c r="J358">
        <f t="shared" si="17"/>
        <v>818.33333333333337</v>
      </c>
    </row>
    <row r="359" spans="1:10" x14ac:dyDescent="0.25">
      <c r="A359">
        <v>268</v>
      </c>
      <c r="B359" t="s">
        <v>274</v>
      </c>
      <c r="C359">
        <v>8</v>
      </c>
      <c r="D359">
        <v>6</v>
      </c>
      <c r="E359">
        <v>1</v>
      </c>
      <c r="F359">
        <v>5</v>
      </c>
      <c r="G359">
        <v>2460</v>
      </c>
      <c r="H359">
        <f t="shared" si="15"/>
        <v>410</v>
      </c>
      <c r="I359">
        <f t="shared" si="16"/>
        <v>2460</v>
      </c>
      <c r="J359">
        <f t="shared" si="17"/>
        <v>492</v>
      </c>
    </row>
    <row r="360" spans="1:10" x14ac:dyDescent="0.25">
      <c r="A360">
        <v>52</v>
      </c>
      <c r="B360" t="s">
        <v>58</v>
      </c>
      <c r="C360">
        <v>12</v>
      </c>
      <c r="D360">
        <v>11</v>
      </c>
      <c r="E360">
        <v>4</v>
      </c>
      <c r="F360">
        <v>7</v>
      </c>
      <c r="G360">
        <v>2477</v>
      </c>
      <c r="H360">
        <f t="shared" si="15"/>
        <v>225.18181818181819</v>
      </c>
      <c r="I360">
        <f t="shared" si="16"/>
        <v>619.25</v>
      </c>
      <c r="J360">
        <f t="shared" si="17"/>
        <v>353.85714285714283</v>
      </c>
    </row>
    <row r="361" spans="1:10" x14ac:dyDescent="0.25">
      <c r="A361">
        <v>78</v>
      </c>
      <c r="B361" t="s">
        <v>84</v>
      </c>
      <c r="C361">
        <v>11</v>
      </c>
      <c r="D361">
        <v>3</v>
      </c>
      <c r="E361">
        <v>0</v>
      </c>
      <c r="F361">
        <v>3</v>
      </c>
      <c r="G361">
        <v>2478</v>
      </c>
      <c r="H361">
        <f t="shared" si="15"/>
        <v>826</v>
      </c>
      <c r="I361" t="e">
        <f t="shared" si="16"/>
        <v>#DIV/0!</v>
      </c>
      <c r="J361">
        <f t="shared" si="17"/>
        <v>826</v>
      </c>
    </row>
    <row r="362" spans="1:10" x14ac:dyDescent="0.25">
      <c r="A362">
        <v>1</v>
      </c>
      <c r="B362" t="s">
        <v>7</v>
      </c>
      <c r="C362">
        <v>8</v>
      </c>
      <c r="D362">
        <v>6</v>
      </c>
      <c r="E362">
        <v>4</v>
      </c>
      <c r="F362">
        <v>2</v>
      </c>
      <c r="G362">
        <v>2490</v>
      </c>
      <c r="H362">
        <f t="shared" si="15"/>
        <v>415</v>
      </c>
      <c r="I362">
        <f t="shared" si="16"/>
        <v>622.5</v>
      </c>
      <c r="J362">
        <f t="shared" si="17"/>
        <v>1245</v>
      </c>
    </row>
    <row r="363" spans="1:10" x14ac:dyDescent="0.25">
      <c r="A363">
        <v>277</v>
      </c>
      <c r="B363" t="s">
        <v>283</v>
      </c>
      <c r="C363">
        <v>17</v>
      </c>
      <c r="D363">
        <v>12</v>
      </c>
      <c r="E363">
        <v>4</v>
      </c>
      <c r="F363">
        <v>8</v>
      </c>
      <c r="G363">
        <v>2512</v>
      </c>
      <c r="H363">
        <f t="shared" si="15"/>
        <v>209.33333333333334</v>
      </c>
      <c r="I363">
        <f t="shared" si="16"/>
        <v>628</v>
      </c>
      <c r="J363">
        <f t="shared" si="17"/>
        <v>314</v>
      </c>
    </row>
    <row r="364" spans="1:10" x14ac:dyDescent="0.25">
      <c r="A364">
        <v>83</v>
      </c>
      <c r="B364" t="s">
        <v>89</v>
      </c>
      <c r="C364">
        <v>13</v>
      </c>
      <c r="D364">
        <v>11</v>
      </c>
      <c r="E364">
        <v>5</v>
      </c>
      <c r="F364">
        <v>6</v>
      </c>
      <c r="G364">
        <v>2544</v>
      </c>
      <c r="H364">
        <f t="shared" si="15"/>
        <v>231.27272727272728</v>
      </c>
      <c r="I364">
        <f t="shared" si="16"/>
        <v>508.8</v>
      </c>
      <c r="J364">
        <f t="shared" si="17"/>
        <v>424</v>
      </c>
    </row>
    <row r="365" spans="1:10" x14ac:dyDescent="0.25">
      <c r="A365">
        <v>155</v>
      </c>
      <c r="B365" t="s">
        <v>161</v>
      </c>
      <c r="C365">
        <v>10</v>
      </c>
      <c r="D365">
        <v>6</v>
      </c>
      <c r="E365">
        <v>2</v>
      </c>
      <c r="F365">
        <v>4</v>
      </c>
      <c r="G365">
        <v>2599</v>
      </c>
      <c r="H365">
        <f t="shared" si="15"/>
        <v>433.16666666666669</v>
      </c>
      <c r="I365">
        <f t="shared" si="16"/>
        <v>1299.5</v>
      </c>
      <c r="J365">
        <f t="shared" si="17"/>
        <v>649.75</v>
      </c>
    </row>
    <row r="366" spans="1:10" x14ac:dyDescent="0.25">
      <c r="A366">
        <v>9</v>
      </c>
      <c r="B366" t="s">
        <v>15</v>
      </c>
      <c r="C366">
        <v>9</v>
      </c>
      <c r="D366">
        <v>8</v>
      </c>
      <c r="E366">
        <v>5</v>
      </c>
      <c r="F366">
        <v>3</v>
      </c>
      <c r="G366">
        <v>2632</v>
      </c>
      <c r="H366">
        <f t="shared" si="15"/>
        <v>329</v>
      </c>
      <c r="I366">
        <f t="shared" si="16"/>
        <v>526.4</v>
      </c>
      <c r="J366">
        <f t="shared" si="17"/>
        <v>877.33333333333337</v>
      </c>
    </row>
    <row r="367" spans="1:10" x14ac:dyDescent="0.25">
      <c r="A367">
        <v>119</v>
      </c>
      <c r="B367" t="s">
        <v>125</v>
      </c>
      <c r="C367">
        <v>8</v>
      </c>
      <c r="D367">
        <v>6</v>
      </c>
      <c r="E367">
        <v>1</v>
      </c>
      <c r="F367">
        <v>5</v>
      </c>
      <c r="G367">
        <v>2634</v>
      </c>
      <c r="H367">
        <f t="shared" si="15"/>
        <v>439</v>
      </c>
      <c r="I367">
        <f t="shared" si="16"/>
        <v>2634</v>
      </c>
      <c r="J367">
        <f t="shared" si="17"/>
        <v>526.79999999999995</v>
      </c>
    </row>
    <row r="368" spans="1:10" x14ac:dyDescent="0.25">
      <c r="A368">
        <v>58</v>
      </c>
      <c r="B368" t="s">
        <v>64</v>
      </c>
      <c r="C368">
        <v>12</v>
      </c>
      <c r="D368">
        <v>11</v>
      </c>
      <c r="E368">
        <v>3</v>
      </c>
      <c r="F368">
        <v>8</v>
      </c>
      <c r="G368">
        <v>2645</v>
      </c>
      <c r="H368">
        <f t="shared" si="15"/>
        <v>240.45454545454547</v>
      </c>
      <c r="I368">
        <f t="shared" si="16"/>
        <v>881.66666666666663</v>
      </c>
      <c r="J368">
        <f t="shared" si="17"/>
        <v>330.625</v>
      </c>
    </row>
    <row r="369" spans="1:10" x14ac:dyDescent="0.25">
      <c r="A369">
        <v>215</v>
      </c>
      <c r="B369" t="s">
        <v>221</v>
      </c>
      <c r="C369">
        <v>13</v>
      </c>
      <c r="D369">
        <v>9</v>
      </c>
      <c r="E369">
        <v>2</v>
      </c>
      <c r="F369">
        <v>7</v>
      </c>
      <c r="G369">
        <v>2650</v>
      </c>
      <c r="H369">
        <f t="shared" si="15"/>
        <v>294.44444444444446</v>
      </c>
      <c r="I369">
        <f t="shared" si="16"/>
        <v>1325</v>
      </c>
      <c r="J369">
        <f t="shared" si="17"/>
        <v>378.57142857142856</v>
      </c>
    </row>
    <row r="370" spans="1:10" x14ac:dyDescent="0.25">
      <c r="A370">
        <v>34</v>
      </c>
      <c r="B370" t="s">
        <v>40</v>
      </c>
      <c r="C370">
        <v>18</v>
      </c>
      <c r="D370">
        <v>11</v>
      </c>
      <c r="E370">
        <v>1</v>
      </c>
      <c r="F370">
        <v>10</v>
      </c>
      <c r="G370">
        <v>2651</v>
      </c>
      <c r="H370">
        <f t="shared" si="15"/>
        <v>241</v>
      </c>
      <c r="I370">
        <f t="shared" si="16"/>
        <v>2651</v>
      </c>
      <c r="J370">
        <f t="shared" si="17"/>
        <v>265.10000000000002</v>
      </c>
    </row>
    <row r="371" spans="1:10" x14ac:dyDescent="0.25">
      <c r="A371">
        <v>64</v>
      </c>
      <c r="B371" t="s">
        <v>70</v>
      </c>
      <c r="C371">
        <v>8</v>
      </c>
      <c r="D371">
        <v>7</v>
      </c>
      <c r="E371">
        <v>1</v>
      </c>
      <c r="F371">
        <v>6</v>
      </c>
      <c r="G371">
        <v>2654</v>
      </c>
      <c r="H371">
        <f t="shared" si="15"/>
        <v>379.14285714285717</v>
      </c>
      <c r="I371">
        <f t="shared" si="16"/>
        <v>2654</v>
      </c>
      <c r="J371">
        <f t="shared" si="17"/>
        <v>442.33333333333331</v>
      </c>
    </row>
    <row r="372" spans="1:10" x14ac:dyDescent="0.25">
      <c r="A372">
        <v>56</v>
      </c>
      <c r="B372" t="s">
        <v>62</v>
      </c>
      <c r="C372">
        <v>7</v>
      </c>
      <c r="D372">
        <v>6</v>
      </c>
      <c r="E372">
        <v>4</v>
      </c>
      <c r="F372">
        <v>2</v>
      </c>
      <c r="G372">
        <v>2695</v>
      </c>
      <c r="H372">
        <f t="shared" si="15"/>
        <v>449.16666666666669</v>
      </c>
      <c r="I372">
        <f t="shared" si="16"/>
        <v>673.75</v>
      </c>
      <c r="J372">
        <f t="shared" si="17"/>
        <v>1347.5</v>
      </c>
    </row>
    <row r="373" spans="1:10" x14ac:dyDescent="0.25">
      <c r="A373">
        <v>255</v>
      </c>
      <c r="B373" t="s">
        <v>261</v>
      </c>
      <c r="C373">
        <v>7</v>
      </c>
      <c r="D373">
        <v>4</v>
      </c>
      <c r="E373">
        <v>2</v>
      </c>
      <c r="F373">
        <v>2</v>
      </c>
      <c r="G373">
        <v>2696</v>
      </c>
      <c r="H373">
        <f t="shared" si="15"/>
        <v>674</v>
      </c>
      <c r="I373">
        <f t="shared" si="16"/>
        <v>1348</v>
      </c>
      <c r="J373">
        <f t="shared" si="17"/>
        <v>1348</v>
      </c>
    </row>
    <row r="374" spans="1:10" x14ac:dyDescent="0.25">
      <c r="A374">
        <v>206</v>
      </c>
      <c r="B374" t="s">
        <v>212</v>
      </c>
      <c r="C374">
        <v>11</v>
      </c>
      <c r="D374">
        <v>7</v>
      </c>
      <c r="E374">
        <v>5</v>
      </c>
      <c r="F374">
        <v>2</v>
      </c>
      <c r="G374">
        <v>2714</v>
      </c>
      <c r="H374">
        <f t="shared" si="15"/>
        <v>387.71428571428572</v>
      </c>
      <c r="I374">
        <f t="shared" si="16"/>
        <v>542.79999999999995</v>
      </c>
      <c r="J374">
        <f t="shared" si="17"/>
        <v>1357</v>
      </c>
    </row>
    <row r="375" spans="1:10" x14ac:dyDescent="0.25">
      <c r="A375">
        <v>160</v>
      </c>
      <c r="B375" t="s">
        <v>166</v>
      </c>
      <c r="C375">
        <v>9</v>
      </c>
      <c r="D375">
        <v>6</v>
      </c>
      <c r="E375">
        <v>6</v>
      </c>
      <c r="F375">
        <v>0</v>
      </c>
      <c r="G375">
        <v>2734</v>
      </c>
      <c r="H375">
        <f t="shared" si="15"/>
        <v>455.66666666666669</v>
      </c>
      <c r="I375">
        <f t="shared" si="16"/>
        <v>455.66666666666669</v>
      </c>
      <c r="J375" t="e">
        <f t="shared" si="17"/>
        <v>#DIV/0!</v>
      </c>
    </row>
    <row r="376" spans="1:10" x14ac:dyDescent="0.25">
      <c r="A376">
        <v>244</v>
      </c>
      <c r="B376" t="s">
        <v>250</v>
      </c>
      <c r="C376">
        <v>12</v>
      </c>
      <c r="D376">
        <v>10</v>
      </c>
      <c r="E376">
        <v>5</v>
      </c>
      <c r="F376">
        <v>5</v>
      </c>
      <c r="G376">
        <v>2746</v>
      </c>
      <c r="H376">
        <f t="shared" si="15"/>
        <v>274.60000000000002</v>
      </c>
      <c r="I376">
        <f t="shared" si="16"/>
        <v>549.20000000000005</v>
      </c>
      <c r="J376">
        <f t="shared" si="17"/>
        <v>549.20000000000005</v>
      </c>
    </row>
    <row r="377" spans="1:10" x14ac:dyDescent="0.25">
      <c r="A377">
        <v>252</v>
      </c>
      <c r="B377" t="s">
        <v>258</v>
      </c>
      <c r="C377">
        <v>21</v>
      </c>
      <c r="D377">
        <v>7</v>
      </c>
      <c r="E377">
        <v>3</v>
      </c>
      <c r="F377">
        <v>4</v>
      </c>
      <c r="G377">
        <v>2759</v>
      </c>
      <c r="H377">
        <f t="shared" si="15"/>
        <v>394.14285714285717</v>
      </c>
      <c r="I377">
        <f t="shared" si="16"/>
        <v>919.66666666666663</v>
      </c>
      <c r="J377">
        <f t="shared" si="17"/>
        <v>689.75</v>
      </c>
    </row>
    <row r="378" spans="1:10" x14ac:dyDescent="0.25">
      <c r="A378">
        <v>80</v>
      </c>
      <c r="B378" t="s">
        <v>86</v>
      </c>
      <c r="C378">
        <v>16</v>
      </c>
      <c r="D378">
        <v>13</v>
      </c>
      <c r="E378">
        <v>2</v>
      </c>
      <c r="F378">
        <v>11</v>
      </c>
      <c r="G378">
        <v>2767</v>
      </c>
      <c r="H378">
        <f t="shared" si="15"/>
        <v>212.84615384615384</v>
      </c>
      <c r="I378">
        <f t="shared" si="16"/>
        <v>1383.5</v>
      </c>
      <c r="J378">
        <f t="shared" si="17"/>
        <v>251.54545454545453</v>
      </c>
    </row>
    <row r="379" spans="1:10" x14ac:dyDescent="0.25">
      <c r="A379">
        <v>123</v>
      </c>
      <c r="B379" t="s">
        <v>129</v>
      </c>
      <c r="C379">
        <v>11</v>
      </c>
      <c r="D379">
        <v>10</v>
      </c>
      <c r="E379">
        <v>6</v>
      </c>
      <c r="F379">
        <v>4</v>
      </c>
      <c r="G379">
        <v>2842</v>
      </c>
      <c r="H379">
        <f t="shared" si="15"/>
        <v>284.2</v>
      </c>
      <c r="I379">
        <f t="shared" si="16"/>
        <v>473.66666666666669</v>
      </c>
      <c r="J379">
        <f t="shared" si="17"/>
        <v>710.5</v>
      </c>
    </row>
    <row r="380" spans="1:10" x14ac:dyDescent="0.25">
      <c r="A380">
        <v>189</v>
      </c>
      <c r="B380" t="s">
        <v>195</v>
      </c>
      <c r="C380">
        <v>15</v>
      </c>
      <c r="D380">
        <v>14</v>
      </c>
      <c r="E380">
        <v>5</v>
      </c>
      <c r="F380">
        <v>9</v>
      </c>
      <c r="G380">
        <v>2861</v>
      </c>
      <c r="H380">
        <f t="shared" si="15"/>
        <v>204.35714285714286</v>
      </c>
      <c r="I380">
        <f t="shared" si="16"/>
        <v>572.20000000000005</v>
      </c>
      <c r="J380">
        <f t="shared" si="17"/>
        <v>317.88888888888891</v>
      </c>
    </row>
    <row r="381" spans="1:10" x14ac:dyDescent="0.25">
      <c r="A381">
        <v>6</v>
      </c>
      <c r="B381" t="s">
        <v>12</v>
      </c>
      <c r="C381">
        <v>9</v>
      </c>
      <c r="D381">
        <v>6</v>
      </c>
      <c r="E381">
        <v>2</v>
      </c>
      <c r="F381">
        <v>4</v>
      </c>
      <c r="G381">
        <v>2866</v>
      </c>
      <c r="H381">
        <f t="shared" si="15"/>
        <v>477.66666666666669</v>
      </c>
      <c r="I381">
        <f t="shared" si="16"/>
        <v>1433</v>
      </c>
      <c r="J381">
        <f t="shared" si="17"/>
        <v>716.5</v>
      </c>
    </row>
    <row r="382" spans="1:10" x14ac:dyDescent="0.25">
      <c r="A382">
        <v>82</v>
      </c>
      <c r="B382" t="s">
        <v>88</v>
      </c>
      <c r="C382">
        <v>8</v>
      </c>
      <c r="D382">
        <v>7</v>
      </c>
      <c r="E382">
        <v>2</v>
      </c>
      <c r="F382">
        <v>5</v>
      </c>
      <c r="G382">
        <v>2894</v>
      </c>
      <c r="H382">
        <f t="shared" si="15"/>
        <v>413.42857142857144</v>
      </c>
      <c r="I382">
        <f t="shared" si="16"/>
        <v>1447</v>
      </c>
      <c r="J382">
        <f t="shared" si="17"/>
        <v>578.79999999999995</v>
      </c>
    </row>
    <row r="383" spans="1:10" x14ac:dyDescent="0.25">
      <c r="A383">
        <v>7</v>
      </c>
      <c r="B383" t="s">
        <v>13</v>
      </c>
      <c r="C383">
        <v>10</v>
      </c>
      <c r="D383">
        <v>7</v>
      </c>
      <c r="E383">
        <v>3</v>
      </c>
      <c r="F383">
        <v>4</v>
      </c>
      <c r="G383">
        <v>2932</v>
      </c>
      <c r="H383">
        <f t="shared" si="15"/>
        <v>418.85714285714283</v>
      </c>
      <c r="I383">
        <f t="shared" si="16"/>
        <v>977.33333333333337</v>
      </c>
      <c r="J383">
        <f t="shared" si="17"/>
        <v>733</v>
      </c>
    </row>
    <row r="384" spans="1:10" x14ac:dyDescent="0.25">
      <c r="A384">
        <v>212</v>
      </c>
      <c r="B384" t="s">
        <v>218</v>
      </c>
      <c r="C384">
        <v>6</v>
      </c>
      <c r="D384">
        <v>3</v>
      </c>
      <c r="E384">
        <v>3</v>
      </c>
      <c r="F384">
        <v>0</v>
      </c>
      <c r="G384">
        <v>2937</v>
      </c>
      <c r="H384">
        <f t="shared" si="15"/>
        <v>979</v>
      </c>
      <c r="I384">
        <f t="shared" si="16"/>
        <v>979</v>
      </c>
      <c r="J384" t="e">
        <f t="shared" si="17"/>
        <v>#DIV/0!</v>
      </c>
    </row>
    <row r="385" spans="1:10" x14ac:dyDescent="0.25">
      <c r="A385">
        <v>190</v>
      </c>
      <c r="B385" t="s">
        <v>196</v>
      </c>
      <c r="C385">
        <v>6</v>
      </c>
      <c r="D385">
        <v>2</v>
      </c>
      <c r="E385">
        <v>1</v>
      </c>
      <c r="F385">
        <v>1</v>
      </c>
      <c r="G385">
        <v>2938</v>
      </c>
      <c r="H385">
        <f t="shared" si="15"/>
        <v>1469</v>
      </c>
      <c r="I385">
        <f t="shared" si="16"/>
        <v>2938</v>
      </c>
      <c r="J385">
        <f t="shared" si="17"/>
        <v>2938</v>
      </c>
    </row>
    <row r="386" spans="1:10" x14ac:dyDescent="0.25">
      <c r="A386">
        <v>192</v>
      </c>
      <c r="B386" t="s">
        <v>198</v>
      </c>
      <c r="C386">
        <v>10</v>
      </c>
      <c r="D386">
        <v>8</v>
      </c>
      <c r="E386">
        <v>3</v>
      </c>
      <c r="F386">
        <v>5</v>
      </c>
      <c r="G386">
        <v>2958</v>
      </c>
      <c r="H386">
        <f t="shared" ref="H386:H449" si="18">G386/D386</f>
        <v>369.75</v>
      </c>
      <c r="I386">
        <f t="shared" ref="I386:I423" si="19">G386/E386</f>
        <v>986</v>
      </c>
      <c r="J386">
        <f t="shared" ref="J386:J423" si="20">G386/F386</f>
        <v>591.6</v>
      </c>
    </row>
    <row r="387" spans="1:10" x14ac:dyDescent="0.25">
      <c r="A387">
        <v>74</v>
      </c>
      <c r="B387" t="s">
        <v>80</v>
      </c>
      <c r="C387">
        <v>3</v>
      </c>
      <c r="D387">
        <v>2</v>
      </c>
      <c r="E387">
        <v>1</v>
      </c>
      <c r="F387">
        <v>1</v>
      </c>
      <c r="G387">
        <v>2977</v>
      </c>
      <c r="H387">
        <f t="shared" si="18"/>
        <v>1488.5</v>
      </c>
      <c r="I387">
        <f t="shared" si="19"/>
        <v>2977</v>
      </c>
      <c r="J387">
        <f t="shared" si="20"/>
        <v>2977</v>
      </c>
    </row>
    <row r="388" spans="1:10" x14ac:dyDescent="0.25">
      <c r="A388">
        <v>21</v>
      </c>
      <c r="B388" t="s">
        <v>27</v>
      </c>
      <c r="C388">
        <v>19</v>
      </c>
      <c r="D388">
        <v>13</v>
      </c>
      <c r="E388">
        <v>6</v>
      </c>
      <c r="F388">
        <v>7</v>
      </c>
      <c r="G388">
        <v>3002</v>
      </c>
      <c r="H388">
        <f t="shared" si="18"/>
        <v>230.92307692307693</v>
      </c>
      <c r="I388">
        <f t="shared" si="19"/>
        <v>500.33333333333331</v>
      </c>
      <c r="J388">
        <f t="shared" si="20"/>
        <v>428.85714285714283</v>
      </c>
    </row>
    <row r="389" spans="1:10" x14ac:dyDescent="0.25">
      <c r="A389">
        <v>150</v>
      </c>
      <c r="B389" t="s">
        <v>156</v>
      </c>
      <c r="C389">
        <v>15</v>
      </c>
      <c r="D389">
        <v>10</v>
      </c>
      <c r="E389">
        <v>4</v>
      </c>
      <c r="F389">
        <v>6</v>
      </c>
      <c r="G389">
        <v>3002</v>
      </c>
      <c r="H389">
        <f t="shared" si="18"/>
        <v>300.2</v>
      </c>
      <c r="I389">
        <f t="shared" si="19"/>
        <v>750.5</v>
      </c>
      <c r="J389">
        <f t="shared" si="20"/>
        <v>500.33333333333331</v>
      </c>
    </row>
    <row r="390" spans="1:10" x14ac:dyDescent="0.25">
      <c r="A390">
        <v>228</v>
      </c>
      <c r="B390" t="s">
        <v>234</v>
      </c>
      <c r="C390">
        <v>7</v>
      </c>
      <c r="D390">
        <v>6</v>
      </c>
      <c r="E390">
        <v>2</v>
      </c>
      <c r="F390">
        <v>4</v>
      </c>
      <c r="G390">
        <v>3034</v>
      </c>
      <c r="H390">
        <f t="shared" si="18"/>
        <v>505.66666666666669</v>
      </c>
      <c r="I390">
        <f t="shared" si="19"/>
        <v>1517</v>
      </c>
      <c r="J390">
        <f t="shared" si="20"/>
        <v>758.5</v>
      </c>
    </row>
    <row r="391" spans="1:10" x14ac:dyDescent="0.25">
      <c r="A391">
        <v>142</v>
      </c>
      <c r="B391" t="s">
        <v>148</v>
      </c>
      <c r="C391">
        <v>25</v>
      </c>
      <c r="D391">
        <v>15</v>
      </c>
      <c r="E391">
        <v>6</v>
      </c>
      <c r="F391">
        <v>9</v>
      </c>
      <c r="G391">
        <v>3087</v>
      </c>
      <c r="H391">
        <f t="shared" si="18"/>
        <v>205.8</v>
      </c>
      <c r="I391">
        <f t="shared" si="19"/>
        <v>514.5</v>
      </c>
      <c r="J391">
        <f t="shared" si="20"/>
        <v>343</v>
      </c>
    </row>
    <row r="392" spans="1:10" x14ac:dyDescent="0.25">
      <c r="A392">
        <v>152</v>
      </c>
      <c r="B392" t="s">
        <v>158</v>
      </c>
      <c r="C392">
        <v>19</v>
      </c>
      <c r="D392">
        <v>6</v>
      </c>
      <c r="E392">
        <v>1</v>
      </c>
      <c r="F392">
        <v>5</v>
      </c>
      <c r="G392">
        <v>3098</v>
      </c>
      <c r="H392">
        <f t="shared" si="18"/>
        <v>516.33333333333337</v>
      </c>
      <c r="I392">
        <f t="shared" si="19"/>
        <v>3098</v>
      </c>
      <c r="J392">
        <f t="shared" si="20"/>
        <v>619.6</v>
      </c>
    </row>
    <row r="393" spans="1:10" x14ac:dyDescent="0.25">
      <c r="A393">
        <v>208</v>
      </c>
      <c r="B393" t="s">
        <v>214</v>
      </c>
      <c r="C393">
        <v>15</v>
      </c>
      <c r="D393">
        <v>14</v>
      </c>
      <c r="E393">
        <v>5</v>
      </c>
      <c r="F393">
        <v>9</v>
      </c>
      <c r="G393">
        <v>3115</v>
      </c>
      <c r="H393">
        <f t="shared" si="18"/>
        <v>222.5</v>
      </c>
      <c r="I393">
        <f t="shared" si="19"/>
        <v>623</v>
      </c>
      <c r="J393">
        <f t="shared" si="20"/>
        <v>346.11111111111109</v>
      </c>
    </row>
    <row r="394" spans="1:10" x14ac:dyDescent="0.25">
      <c r="A394">
        <v>161</v>
      </c>
      <c r="B394" t="s">
        <v>167</v>
      </c>
      <c r="C394">
        <v>13</v>
      </c>
      <c r="D394">
        <v>12</v>
      </c>
      <c r="E394">
        <v>7</v>
      </c>
      <c r="F394">
        <v>5</v>
      </c>
      <c r="G394">
        <v>3117</v>
      </c>
      <c r="H394">
        <f t="shared" si="18"/>
        <v>259.75</v>
      </c>
      <c r="I394">
        <f t="shared" si="19"/>
        <v>445.28571428571428</v>
      </c>
      <c r="J394">
        <f t="shared" si="20"/>
        <v>623.4</v>
      </c>
    </row>
    <row r="395" spans="1:10" x14ac:dyDescent="0.25">
      <c r="A395">
        <v>153</v>
      </c>
      <c r="B395" t="s">
        <v>159</v>
      </c>
      <c r="C395">
        <v>16</v>
      </c>
      <c r="D395">
        <v>15</v>
      </c>
      <c r="E395">
        <v>4</v>
      </c>
      <c r="F395">
        <v>11</v>
      </c>
      <c r="G395">
        <v>3124</v>
      </c>
      <c r="H395">
        <f t="shared" si="18"/>
        <v>208.26666666666668</v>
      </c>
      <c r="I395">
        <f t="shared" si="19"/>
        <v>781</v>
      </c>
      <c r="J395">
        <f t="shared" si="20"/>
        <v>284</v>
      </c>
    </row>
    <row r="396" spans="1:10" x14ac:dyDescent="0.25">
      <c r="A396">
        <v>147</v>
      </c>
      <c r="B396" t="s">
        <v>153</v>
      </c>
      <c r="C396">
        <v>11</v>
      </c>
      <c r="D396">
        <v>9</v>
      </c>
      <c r="E396">
        <v>2</v>
      </c>
      <c r="F396">
        <v>7</v>
      </c>
      <c r="G396">
        <v>3125</v>
      </c>
      <c r="H396">
        <f t="shared" si="18"/>
        <v>347.22222222222223</v>
      </c>
      <c r="I396">
        <f t="shared" si="19"/>
        <v>1562.5</v>
      </c>
      <c r="J396">
        <f t="shared" si="20"/>
        <v>446.42857142857144</v>
      </c>
    </row>
    <row r="397" spans="1:10" x14ac:dyDescent="0.25">
      <c r="A397">
        <v>182</v>
      </c>
      <c r="B397" t="s">
        <v>188</v>
      </c>
      <c r="C397">
        <v>3</v>
      </c>
      <c r="D397">
        <v>1</v>
      </c>
      <c r="E397">
        <v>0</v>
      </c>
      <c r="F397">
        <v>1</v>
      </c>
      <c r="G397">
        <v>3150</v>
      </c>
      <c r="H397">
        <f t="shared" si="18"/>
        <v>3150</v>
      </c>
      <c r="I397" t="e">
        <f t="shared" si="19"/>
        <v>#DIV/0!</v>
      </c>
      <c r="J397">
        <f t="shared" si="20"/>
        <v>3150</v>
      </c>
    </row>
    <row r="398" spans="1:10" x14ac:dyDescent="0.25">
      <c r="A398">
        <v>134</v>
      </c>
      <c r="B398" t="s">
        <v>140</v>
      </c>
      <c r="C398">
        <v>17</v>
      </c>
      <c r="D398">
        <v>14</v>
      </c>
      <c r="E398">
        <v>4</v>
      </c>
      <c r="F398">
        <v>10</v>
      </c>
      <c r="G398">
        <v>3171</v>
      </c>
      <c r="H398">
        <f t="shared" si="18"/>
        <v>226.5</v>
      </c>
      <c r="I398">
        <f t="shared" si="19"/>
        <v>792.75</v>
      </c>
      <c r="J398">
        <f t="shared" si="20"/>
        <v>317.10000000000002</v>
      </c>
    </row>
    <row r="399" spans="1:10" x14ac:dyDescent="0.25">
      <c r="A399">
        <v>19</v>
      </c>
      <c r="B399" t="s">
        <v>25</v>
      </c>
      <c r="C399">
        <v>5</v>
      </c>
      <c r="D399">
        <v>3</v>
      </c>
      <c r="E399">
        <v>0</v>
      </c>
      <c r="F399">
        <v>3</v>
      </c>
      <c r="G399">
        <v>3184</v>
      </c>
      <c r="H399">
        <f t="shared" si="18"/>
        <v>1061.3333333333333</v>
      </c>
      <c r="I399" t="e">
        <f t="shared" si="19"/>
        <v>#DIV/0!</v>
      </c>
      <c r="J399">
        <f t="shared" si="20"/>
        <v>1061.3333333333333</v>
      </c>
    </row>
    <row r="400" spans="1:10" x14ac:dyDescent="0.25">
      <c r="A400">
        <v>174</v>
      </c>
      <c r="B400" t="s">
        <v>180</v>
      </c>
      <c r="C400">
        <v>17</v>
      </c>
      <c r="D400">
        <v>15</v>
      </c>
      <c r="E400">
        <v>5</v>
      </c>
      <c r="F400">
        <v>10</v>
      </c>
      <c r="G400">
        <v>3263</v>
      </c>
      <c r="H400">
        <f t="shared" si="18"/>
        <v>217.53333333333333</v>
      </c>
      <c r="I400">
        <f t="shared" si="19"/>
        <v>652.6</v>
      </c>
      <c r="J400">
        <f t="shared" si="20"/>
        <v>326.3</v>
      </c>
    </row>
    <row r="401" spans="1:10" x14ac:dyDescent="0.25">
      <c r="A401">
        <v>43</v>
      </c>
      <c r="B401" t="s">
        <v>49</v>
      </c>
      <c r="C401">
        <v>10</v>
      </c>
      <c r="D401">
        <v>9</v>
      </c>
      <c r="E401">
        <v>5</v>
      </c>
      <c r="F401">
        <v>4</v>
      </c>
      <c r="G401">
        <v>3282</v>
      </c>
      <c r="H401">
        <f t="shared" si="18"/>
        <v>364.66666666666669</v>
      </c>
      <c r="I401">
        <f t="shared" si="19"/>
        <v>656.4</v>
      </c>
      <c r="J401">
        <f t="shared" si="20"/>
        <v>820.5</v>
      </c>
    </row>
    <row r="402" spans="1:10" x14ac:dyDescent="0.25">
      <c r="A402">
        <v>38</v>
      </c>
      <c r="B402" t="s">
        <v>44</v>
      </c>
      <c r="C402">
        <v>10</v>
      </c>
      <c r="D402">
        <v>8</v>
      </c>
      <c r="E402">
        <v>1</v>
      </c>
      <c r="F402">
        <v>7</v>
      </c>
      <c r="G402">
        <v>3284</v>
      </c>
      <c r="H402">
        <f t="shared" si="18"/>
        <v>410.5</v>
      </c>
      <c r="I402">
        <f t="shared" si="19"/>
        <v>3284</v>
      </c>
      <c r="J402">
        <f t="shared" si="20"/>
        <v>469.14285714285717</v>
      </c>
    </row>
    <row r="403" spans="1:10" x14ac:dyDescent="0.25">
      <c r="A403">
        <v>177</v>
      </c>
      <c r="B403" t="s">
        <v>183</v>
      </c>
      <c r="C403">
        <v>16</v>
      </c>
      <c r="D403">
        <v>14</v>
      </c>
      <c r="E403">
        <v>7</v>
      </c>
      <c r="F403">
        <v>7</v>
      </c>
      <c r="G403">
        <v>3288</v>
      </c>
      <c r="H403">
        <f t="shared" si="18"/>
        <v>234.85714285714286</v>
      </c>
      <c r="I403">
        <f t="shared" si="19"/>
        <v>469.71428571428572</v>
      </c>
      <c r="J403">
        <f t="shared" si="20"/>
        <v>469.71428571428572</v>
      </c>
    </row>
    <row r="404" spans="1:10" x14ac:dyDescent="0.25">
      <c r="A404">
        <v>20</v>
      </c>
      <c r="B404" t="s">
        <v>26</v>
      </c>
      <c r="C404">
        <v>11</v>
      </c>
      <c r="D404">
        <v>10</v>
      </c>
      <c r="E404">
        <v>5</v>
      </c>
      <c r="F404">
        <v>5</v>
      </c>
      <c r="G404">
        <v>3293</v>
      </c>
      <c r="H404">
        <f t="shared" si="18"/>
        <v>329.3</v>
      </c>
      <c r="I404">
        <f t="shared" si="19"/>
        <v>658.6</v>
      </c>
      <c r="J404">
        <f t="shared" si="20"/>
        <v>658.6</v>
      </c>
    </row>
    <row r="405" spans="1:10" x14ac:dyDescent="0.25">
      <c r="A405">
        <v>31</v>
      </c>
      <c r="B405" t="s">
        <v>37</v>
      </c>
      <c r="C405">
        <v>8</v>
      </c>
      <c r="D405">
        <v>7</v>
      </c>
      <c r="E405">
        <v>1</v>
      </c>
      <c r="F405">
        <v>6</v>
      </c>
      <c r="G405">
        <v>3336</v>
      </c>
      <c r="H405">
        <f t="shared" si="18"/>
        <v>476.57142857142856</v>
      </c>
      <c r="I405">
        <f t="shared" si="19"/>
        <v>3336</v>
      </c>
      <c r="J405">
        <f t="shared" si="20"/>
        <v>556</v>
      </c>
    </row>
    <row r="406" spans="1:10" x14ac:dyDescent="0.25">
      <c r="A406">
        <v>5</v>
      </c>
      <c r="B406" t="s">
        <v>11</v>
      </c>
      <c r="C406">
        <v>9</v>
      </c>
      <c r="D406">
        <v>1</v>
      </c>
      <c r="E406">
        <v>0</v>
      </c>
      <c r="F406">
        <v>1</v>
      </c>
      <c r="G406">
        <v>3351</v>
      </c>
      <c r="H406">
        <f t="shared" si="18"/>
        <v>3351</v>
      </c>
      <c r="I406" t="e">
        <f t="shared" si="19"/>
        <v>#DIV/0!</v>
      </c>
      <c r="J406">
        <f t="shared" si="20"/>
        <v>3351</v>
      </c>
    </row>
    <row r="407" spans="1:10" x14ac:dyDescent="0.25">
      <c r="A407">
        <v>98</v>
      </c>
      <c r="B407" t="s">
        <v>104</v>
      </c>
      <c r="C407">
        <v>12</v>
      </c>
      <c r="D407">
        <v>11</v>
      </c>
      <c r="E407">
        <v>7</v>
      </c>
      <c r="F407">
        <v>4</v>
      </c>
      <c r="G407">
        <v>3374</v>
      </c>
      <c r="H407">
        <f t="shared" si="18"/>
        <v>306.72727272727275</v>
      </c>
      <c r="I407">
        <f t="shared" si="19"/>
        <v>482</v>
      </c>
      <c r="J407">
        <f t="shared" si="20"/>
        <v>843.5</v>
      </c>
    </row>
    <row r="408" spans="1:10" x14ac:dyDescent="0.25">
      <c r="A408">
        <v>84</v>
      </c>
      <c r="B408" t="s">
        <v>90</v>
      </c>
      <c r="C408">
        <v>23</v>
      </c>
      <c r="D408">
        <v>21</v>
      </c>
      <c r="E408">
        <v>8</v>
      </c>
      <c r="F408">
        <v>13</v>
      </c>
      <c r="G408">
        <v>3418</v>
      </c>
      <c r="H408">
        <f t="shared" si="18"/>
        <v>162.76190476190476</v>
      </c>
      <c r="I408">
        <f t="shared" si="19"/>
        <v>427.25</v>
      </c>
      <c r="J408">
        <f t="shared" si="20"/>
        <v>262.92307692307691</v>
      </c>
    </row>
    <row r="409" spans="1:10" x14ac:dyDescent="0.25">
      <c r="A409">
        <v>175</v>
      </c>
      <c r="B409" t="s">
        <v>181</v>
      </c>
      <c r="C409">
        <v>14</v>
      </c>
      <c r="D409">
        <v>13</v>
      </c>
      <c r="E409">
        <v>5</v>
      </c>
      <c r="F409">
        <v>8</v>
      </c>
      <c r="G409">
        <v>3427</v>
      </c>
      <c r="H409">
        <f t="shared" si="18"/>
        <v>263.61538461538464</v>
      </c>
      <c r="I409">
        <f t="shared" si="19"/>
        <v>685.4</v>
      </c>
      <c r="J409">
        <f t="shared" si="20"/>
        <v>428.375</v>
      </c>
    </row>
    <row r="410" spans="1:10" x14ac:dyDescent="0.25">
      <c r="A410">
        <v>15</v>
      </c>
      <c r="B410" t="s">
        <v>21</v>
      </c>
      <c r="C410">
        <v>10</v>
      </c>
      <c r="D410">
        <v>4</v>
      </c>
      <c r="E410">
        <v>1</v>
      </c>
      <c r="F410">
        <v>3</v>
      </c>
      <c r="G410">
        <v>3556</v>
      </c>
      <c r="H410">
        <f t="shared" si="18"/>
        <v>889</v>
      </c>
      <c r="I410">
        <f t="shared" si="19"/>
        <v>3556</v>
      </c>
      <c r="J410">
        <f t="shared" si="20"/>
        <v>1185.3333333333333</v>
      </c>
    </row>
    <row r="411" spans="1:10" x14ac:dyDescent="0.25">
      <c r="A411">
        <v>100</v>
      </c>
      <c r="B411" t="s">
        <v>106</v>
      </c>
      <c r="C411">
        <v>13</v>
      </c>
      <c r="D411">
        <v>6</v>
      </c>
      <c r="E411">
        <v>3</v>
      </c>
      <c r="F411">
        <v>3</v>
      </c>
      <c r="G411">
        <v>3575</v>
      </c>
      <c r="H411">
        <f t="shared" si="18"/>
        <v>595.83333333333337</v>
      </c>
      <c r="I411">
        <f t="shared" si="19"/>
        <v>1191.6666666666667</v>
      </c>
      <c r="J411">
        <f t="shared" si="20"/>
        <v>1191.6666666666667</v>
      </c>
    </row>
    <row r="412" spans="1:10" x14ac:dyDescent="0.25">
      <c r="A412">
        <v>13</v>
      </c>
      <c r="B412" t="s">
        <v>19</v>
      </c>
      <c r="C412">
        <v>11</v>
      </c>
      <c r="D412">
        <v>10</v>
      </c>
      <c r="E412">
        <v>5</v>
      </c>
      <c r="F412">
        <v>5</v>
      </c>
      <c r="G412">
        <v>3696</v>
      </c>
      <c r="H412">
        <f t="shared" si="18"/>
        <v>369.6</v>
      </c>
      <c r="I412">
        <f t="shared" si="19"/>
        <v>739.2</v>
      </c>
      <c r="J412">
        <f t="shared" si="20"/>
        <v>739.2</v>
      </c>
    </row>
    <row r="413" spans="1:10" x14ac:dyDescent="0.25">
      <c r="A413">
        <v>68</v>
      </c>
      <c r="B413" t="s">
        <v>74</v>
      </c>
      <c r="C413">
        <v>15</v>
      </c>
      <c r="D413">
        <v>14</v>
      </c>
      <c r="E413">
        <v>7</v>
      </c>
      <c r="F413">
        <v>7</v>
      </c>
      <c r="G413">
        <v>3720</v>
      </c>
      <c r="H413">
        <f t="shared" si="18"/>
        <v>265.71428571428572</v>
      </c>
      <c r="I413">
        <f t="shared" si="19"/>
        <v>531.42857142857144</v>
      </c>
      <c r="J413">
        <f t="shared" si="20"/>
        <v>531.42857142857144</v>
      </c>
    </row>
    <row r="414" spans="1:10" x14ac:dyDescent="0.25">
      <c r="A414">
        <v>73</v>
      </c>
      <c r="B414" t="s">
        <v>79</v>
      </c>
      <c r="C414">
        <v>10</v>
      </c>
      <c r="D414">
        <v>9</v>
      </c>
      <c r="E414">
        <v>2</v>
      </c>
      <c r="F414">
        <v>7</v>
      </c>
      <c r="G414">
        <v>3763</v>
      </c>
      <c r="H414">
        <f t="shared" si="18"/>
        <v>418.11111111111109</v>
      </c>
      <c r="I414">
        <f t="shared" si="19"/>
        <v>1881.5</v>
      </c>
      <c r="J414">
        <f t="shared" si="20"/>
        <v>537.57142857142856</v>
      </c>
    </row>
    <row r="415" spans="1:10" x14ac:dyDescent="0.25">
      <c r="A415">
        <v>28</v>
      </c>
      <c r="B415" t="s">
        <v>34</v>
      </c>
      <c r="C415">
        <v>39</v>
      </c>
      <c r="D415">
        <v>35</v>
      </c>
      <c r="E415">
        <v>8</v>
      </c>
      <c r="F415">
        <v>27</v>
      </c>
      <c r="G415">
        <v>3793</v>
      </c>
      <c r="H415">
        <f t="shared" si="18"/>
        <v>108.37142857142857</v>
      </c>
      <c r="I415">
        <f t="shared" si="19"/>
        <v>474.125</v>
      </c>
      <c r="J415">
        <f t="shared" si="20"/>
        <v>140.4814814814815</v>
      </c>
    </row>
    <row r="416" spans="1:10" x14ac:dyDescent="0.25">
      <c r="A416">
        <v>41</v>
      </c>
      <c r="B416" t="s">
        <v>47</v>
      </c>
      <c r="C416">
        <v>13</v>
      </c>
      <c r="D416">
        <v>12</v>
      </c>
      <c r="E416">
        <v>1</v>
      </c>
      <c r="F416">
        <v>11</v>
      </c>
      <c r="G416">
        <v>3825</v>
      </c>
      <c r="H416">
        <f t="shared" si="18"/>
        <v>318.75</v>
      </c>
      <c r="I416">
        <f t="shared" si="19"/>
        <v>3825</v>
      </c>
      <c r="J416">
        <f t="shared" si="20"/>
        <v>347.72727272727275</v>
      </c>
    </row>
    <row r="417" spans="1:10" x14ac:dyDescent="0.25">
      <c r="A417">
        <v>85</v>
      </c>
      <c r="B417" t="s">
        <v>91</v>
      </c>
      <c r="C417">
        <v>7</v>
      </c>
      <c r="D417">
        <v>5</v>
      </c>
      <c r="E417">
        <v>1</v>
      </c>
      <c r="F417">
        <v>4</v>
      </c>
      <c r="G417">
        <v>3959</v>
      </c>
      <c r="H417">
        <f t="shared" si="18"/>
        <v>791.8</v>
      </c>
      <c r="I417">
        <f t="shared" si="19"/>
        <v>3959</v>
      </c>
      <c r="J417">
        <f t="shared" si="20"/>
        <v>989.75</v>
      </c>
    </row>
    <row r="418" spans="1:10" x14ac:dyDescent="0.25">
      <c r="A418">
        <v>39</v>
      </c>
      <c r="B418" t="s">
        <v>45</v>
      </c>
      <c r="C418">
        <v>17</v>
      </c>
      <c r="D418">
        <v>10</v>
      </c>
      <c r="E418">
        <v>1</v>
      </c>
      <c r="F418">
        <v>9</v>
      </c>
      <c r="G418">
        <v>4048</v>
      </c>
      <c r="H418">
        <f t="shared" si="18"/>
        <v>404.8</v>
      </c>
      <c r="I418">
        <f t="shared" si="19"/>
        <v>4048</v>
      </c>
      <c r="J418">
        <f t="shared" si="20"/>
        <v>449.77777777777777</v>
      </c>
    </row>
    <row r="419" spans="1:10" x14ac:dyDescent="0.25">
      <c r="A419">
        <v>17</v>
      </c>
      <c r="B419" t="s">
        <v>23</v>
      </c>
      <c r="C419">
        <v>24</v>
      </c>
      <c r="D419">
        <v>21</v>
      </c>
      <c r="E419">
        <v>8</v>
      </c>
      <c r="F419">
        <v>13</v>
      </c>
      <c r="G419">
        <v>4208</v>
      </c>
      <c r="H419">
        <f t="shared" si="18"/>
        <v>200.38095238095238</v>
      </c>
      <c r="I419">
        <f t="shared" si="19"/>
        <v>526</v>
      </c>
      <c r="J419">
        <f t="shared" si="20"/>
        <v>323.69230769230768</v>
      </c>
    </row>
    <row r="420" spans="1:10" x14ac:dyDescent="0.25">
      <c r="A420">
        <v>2</v>
      </c>
      <c r="B420" t="s">
        <v>8</v>
      </c>
      <c r="C420">
        <v>19</v>
      </c>
      <c r="D420">
        <v>18</v>
      </c>
      <c r="E420">
        <v>5</v>
      </c>
      <c r="F420">
        <v>13</v>
      </c>
      <c r="G420">
        <v>4215</v>
      </c>
      <c r="H420">
        <f t="shared" si="18"/>
        <v>234.16666666666666</v>
      </c>
      <c r="I420">
        <f t="shared" si="19"/>
        <v>843</v>
      </c>
      <c r="J420">
        <f t="shared" si="20"/>
        <v>324.23076923076923</v>
      </c>
    </row>
    <row r="421" spans="1:10" x14ac:dyDescent="0.25">
      <c r="A421">
        <v>40</v>
      </c>
      <c r="B421" t="s">
        <v>46</v>
      </c>
      <c r="C421">
        <v>12</v>
      </c>
      <c r="D421">
        <v>10</v>
      </c>
      <c r="E421">
        <v>2</v>
      </c>
      <c r="F421">
        <v>8</v>
      </c>
      <c r="G421">
        <v>4223</v>
      </c>
      <c r="H421">
        <f t="shared" si="18"/>
        <v>422.3</v>
      </c>
      <c r="I421">
        <f t="shared" si="19"/>
        <v>2111.5</v>
      </c>
      <c r="J421">
        <f t="shared" si="20"/>
        <v>527.875</v>
      </c>
    </row>
    <row r="422" spans="1:10" x14ac:dyDescent="0.25">
      <c r="A422">
        <v>27</v>
      </c>
      <c r="B422" t="s">
        <v>33</v>
      </c>
      <c r="C422">
        <v>42</v>
      </c>
      <c r="D422">
        <v>40</v>
      </c>
      <c r="E422">
        <v>14</v>
      </c>
      <c r="F422">
        <v>26</v>
      </c>
      <c r="G422">
        <v>4258</v>
      </c>
      <c r="H422">
        <f t="shared" si="18"/>
        <v>106.45</v>
      </c>
      <c r="I422">
        <f t="shared" si="19"/>
        <v>304.14285714285717</v>
      </c>
      <c r="J422">
        <f t="shared" si="20"/>
        <v>163.76923076923077</v>
      </c>
    </row>
    <row r="423" spans="1:10" x14ac:dyDescent="0.25">
      <c r="A423">
        <v>18</v>
      </c>
      <c r="B423" t="s">
        <v>24</v>
      </c>
      <c r="C423">
        <v>29</v>
      </c>
      <c r="D423">
        <v>21</v>
      </c>
      <c r="E423">
        <v>6</v>
      </c>
      <c r="F423">
        <v>15</v>
      </c>
      <c r="G423">
        <v>4431</v>
      </c>
      <c r="H423">
        <f t="shared" si="18"/>
        <v>211</v>
      </c>
      <c r="I423">
        <f t="shared" si="19"/>
        <v>738.5</v>
      </c>
      <c r="J423">
        <f t="shared" si="20"/>
        <v>295.39999999999998</v>
      </c>
    </row>
  </sheetData>
  <sortState xmlns:xlrd2="http://schemas.microsoft.com/office/spreadsheetml/2017/richdata2" ref="A2:J424">
    <sortCondition ref="G1:G424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BC5BA-C774-4571-A9F2-5407D473F546}">
  <dimension ref="A1:R382"/>
  <sheetViews>
    <sheetView tabSelected="1" topLeftCell="B1" workbookViewId="0">
      <selection activeCell="U27" sqref="U27"/>
    </sheetView>
  </sheetViews>
  <sheetFormatPr defaultRowHeight="15" x14ac:dyDescent="0.25"/>
  <cols>
    <col min="4" max="4" width="13.7109375" customWidth="1"/>
    <col min="7" max="7" width="14.7109375" customWidth="1"/>
    <col min="13" max="14" width="15.7109375" customWidth="1"/>
    <col min="15" max="15" width="13.5703125" customWidth="1"/>
    <col min="16" max="16" width="15.7109375" customWidth="1"/>
    <col min="17" max="17" width="13.7109375" customWidth="1"/>
    <col min="18" max="18" width="13.85546875" customWidth="1"/>
  </cols>
  <sheetData>
    <row r="1" spans="1:1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431</v>
      </c>
      <c r="I1" t="s">
        <v>432</v>
      </c>
      <c r="J1" t="s">
        <v>433</v>
      </c>
      <c r="M1" t="s">
        <v>434</v>
      </c>
      <c r="N1" t="s">
        <v>435</v>
      </c>
      <c r="O1" t="s">
        <v>436</v>
      </c>
      <c r="P1" t="s">
        <v>437</v>
      </c>
      <c r="Q1" t="s">
        <v>438</v>
      </c>
      <c r="R1" t="s">
        <v>439</v>
      </c>
    </row>
    <row r="2" spans="1:18" x14ac:dyDescent="0.25">
      <c r="A2">
        <v>135</v>
      </c>
      <c r="B2" t="s">
        <v>141</v>
      </c>
      <c r="C2">
        <v>2</v>
      </c>
      <c r="D2">
        <v>1</v>
      </c>
      <c r="E2">
        <v>1</v>
      </c>
      <c r="F2">
        <v>0</v>
      </c>
      <c r="G2">
        <v>0</v>
      </c>
      <c r="H2">
        <f t="shared" ref="H2:H65" si="0">G2/D2</f>
        <v>0</v>
      </c>
      <c r="I2">
        <f t="shared" ref="I2:I65" si="1">G2/E2</f>
        <v>0</v>
      </c>
      <c r="J2" t="e">
        <f t="shared" ref="J2:J65" si="2">G2/F2</f>
        <v>#DIV/0!</v>
      </c>
      <c r="L2" t="s">
        <v>428</v>
      </c>
      <c r="M2" s="1">
        <f>94/381</f>
        <v>0.24671916010498687</v>
      </c>
      <c r="N2" s="1">
        <f>109/381</f>
        <v>0.28608923884514437</v>
      </c>
      <c r="O2" s="1">
        <f>133/381</f>
        <v>0.34908136482939633</v>
      </c>
      <c r="P2" s="1">
        <f>146/381</f>
        <v>0.38320209973753283</v>
      </c>
      <c r="Q2" s="1">
        <f>164/381</f>
        <v>0.43044619422572178</v>
      </c>
      <c r="R2" s="1">
        <f>264/381</f>
        <v>0.69291338582677164</v>
      </c>
    </row>
    <row r="3" spans="1:18" x14ac:dyDescent="0.25">
      <c r="A3">
        <v>170</v>
      </c>
      <c r="B3" t="s">
        <v>176</v>
      </c>
      <c r="C3">
        <v>2</v>
      </c>
      <c r="D3">
        <v>1</v>
      </c>
      <c r="E3">
        <v>1</v>
      </c>
      <c r="F3">
        <v>0</v>
      </c>
      <c r="G3">
        <v>0</v>
      </c>
      <c r="H3">
        <f t="shared" si="0"/>
        <v>0</v>
      </c>
      <c r="I3">
        <f t="shared" si="1"/>
        <v>0</v>
      </c>
      <c r="J3" t="e">
        <f t="shared" si="2"/>
        <v>#DIV/0!</v>
      </c>
      <c r="L3" t="s">
        <v>429</v>
      </c>
      <c r="M3" s="1">
        <f>34/235</f>
        <v>0.14468085106382977</v>
      </c>
      <c r="N3" s="1">
        <f>39/235</f>
        <v>0.16595744680851063</v>
      </c>
      <c r="O3" s="1">
        <f>48/235</f>
        <v>0.20425531914893616</v>
      </c>
      <c r="P3" s="1">
        <f>52/235</f>
        <v>0.22127659574468084</v>
      </c>
      <c r="Q3" s="1">
        <f>66/235</f>
        <v>0.28085106382978725</v>
      </c>
      <c r="R3" s="1">
        <f>133/235</f>
        <v>0.56595744680851068</v>
      </c>
    </row>
    <row r="4" spans="1:18" x14ac:dyDescent="0.25">
      <c r="A4">
        <v>265</v>
      </c>
      <c r="B4" t="s">
        <v>271</v>
      </c>
      <c r="C4">
        <v>2</v>
      </c>
      <c r="D4">
        <v>1</v>
      </c>
      <c r="E4">
        <v>1</v>
      </c>
      <c r="F4">
        <v>0</v>
      </c>
      <c r="G4">
        <v>0</v>
      </c>
      <c r="H4">
        <f t="shared" si="0"/>
        <v>0</v>
      </c>
      <c r="I4">
        <f t="shared" si="1"/>
        <v>0</v>
      </c>
      <c r="J4" t="e">
        <f t="shared" si="2"/>
        <v>#DIV/0!</v>
      </c>
      <c r="L4" t="s">
        <v>430</v>
      </c>
      <c r="M4" s="1">
        <f>86/363</f>
        <v>0.23691460055096419</v>
      </c>
      <c r="N4" s="1">
        <f>99/363</f>
        <v>0.27272727272727271</v>
      </c>
      <c r="O4" s="1">
        <f>122/363</f>
        <v>0.33608815426997246</v>
      </c>
      <c r="P4" s="1">
        <f>135/363</f>
        <v>0.37190082644628097</v>
      </c>
      <c r="Q4" s="1">
        <f>150/363</f>
        <v>0.41322314049586778</v>
      </c>
      <c r="R4" s="1">
        <f>248/363</f>
        <v>0.6831955922865014</v>
      </c>
    </row>
    <row r="5" spans="1:18" x14ac:dyDescent="0.25">
      <c r="A5">
        <v>351</v>
      </c>
      <c r="B5" t="s">
        <v>357</v>
      </c>
      <c r="C5">
        <v>2</v>
      </c>
      <c r="D5">
        <v>1</v>
      </c>
      <c r="E5">
        <v>1</v>
      </c>
      <c r="F5">
        <v>0</v>
      </c>
      <c r="G5">
        <v>0</v>
      </c>
      <c r="H5">
        <f t="shared" si="0"/>
        <v>0</v>
      </c>
      <c r="I5">
        <f t="shared" si="1"/>
        <v>0</v>
      </c>
      <c r="J5" t="e">
        <f t="shared" si="2"/>
        <v>#DIV/0!</v>
      </c>
      <c r="M5" s="1"/>
      <c r="N5" s="1"/>
      <c r="O5" s="1"/>
      <c r="P5" s="1"/>
      <c r="Q5" s="1"/>
      <c r="R5" s="1"/>
    </row>
    <row r="6" spans="1:18" x14ac:dyDescent="0.25">
      <c r="A6">
        <v>365</v>
      </c>
      <c r="B6" t="s">
        <v>371</v>
      </c>
      <c r="C6">
        <v>2</v>
      </c>
      <c r="D6">
        <v>1</v>
      </c>
      <c r="E6">
        <v>1</v>
      </c>
      <c r="F6">
        <v>0</v>
      </c>
      <c r="G6">
        <v>0</v>
      </c>
      <c r="H6">
        <f t="shared" si="0"/>
        <v>0</v>
      </c>
      <c r="I6">
        <f t="shared" si="1"/>
        <v>0</v>
      </c>
      <c r="J6" t="e">
        <f t="shared" si="2"/>
        <v>#DIV/0!</v>
      </c>
      <c r="M6" s="1"/>
      <c r="N6" s="1"/>
      <c r="O6" s="1"/>
      <c r="P6" s="1"/>
      <c r="Q6" s="1"/>
      <c r="R6" s="1"/>
    </row>
    <row r="7" spans="1:18" x14ac:dyDescent="0.25">
      <c r="A7">
        <v>75</v>
      </c>
      <c r="B7" t="s">
        <v>81</v>
      </c>
      <c r="C7">
        <v>2</v>
      </c>
      <c r="D7">
        <v>1</v>
      </c>
      <c r="E7">
        <v>0</v>
      </c>
      <c r="F7">
        <v>1</v>
      </c>
      <c r="G7">
        <v>0</v>
      </c>
      <c r="H7">
        <f t="shared" si="0"/>
        <v>0</v>
      </c>
      <c r="I7" t="e">
        <f t="shared" si="1"/>
        <v>#DIV/0!</v>
      </c>
      <c r="J7">
        <f t="shared" si="2"/>
        <v>0</v>
      </c>
      <c r="M7" s="1"/>
      <c r="N7" s="1"/>
      <c r="O7" s="1"/>
      <c r="P7" s="1"/>
      <c r="Q7" s="1"/>
      <c r="R7" s="1"/>
    </row>
    <row r="8" spans="1:18" x14ac:dyDescent="0.25">
      <c r="A8">
        <v>237</v>
      </c>
      <c r="B8" t="s">
        <v>243</v>
      </c>
      <c r="C8">
        <v>2</v>
      </c>
      <c r="D8">
        <v>1</v>
      </c>
      <c r="E8">
        <v>0</v>
      </c>
      <c r="F8">
        <v>1</v>
      </c>
      <c r="G8">
        <v>0</v>
      </c>
      <c r="H8">
        <f t="shared" si="0"/>
        <v>0</v>
      </c>
      <c r="I8" t="e">
        <f t="shared" si="1"/>
        <v>#DIV/0!</v>
      </c>
      <c r="J8">
        <f t="shared" si="2"/>
        <v>0</v>
      </c>
    </row>
    <row r="9" spans="1:18" x14ac:dyDescent="0.25">
      <c r="A9">
        <v>376</v>
      </c>
      <c r="B9" t="s">
        <v>382</v>
      </c>
      <c r="C9">
        <v>2</v>
      </c>
      <c r="D9">
        <v>1</v>
      </c>
      <c r="E9">
        <v>0</v>
      </c>
      <c r="F9">
        <v>1</v>
      </c>
      <c r="G9">
        <v>0</v>
      </c>
      <c r="H9">
        <f t="shared" si="0"/>
        <v>0</v>
      </c>
      <c r="I9" t="e">
        <f t="shared" si="1"/>
        <v>#DIV/0!</v>
      </c>
      <c r="J9">
        <f t="shared" si="2"/>
        <v>0</v>
      </c>
    </row>
    <row r="10" spans="1:18" x14ac:dyDescent="0.25">
      <c r="A10">
        <v>314</v>
      </c>
      <c r="B10" t="s">
        <v>320</v>
      </c>
      <c r="C10">
        <v>3</v>
      </c>
      <c r="D10">
        <v>1</v>
      </c>
      <c r="E10">
        <v>0</v>
      </c>
      <c r="F10">
        <v>1</v>
      </c>
      <c r="G10">
        <v>0</v>
      </c>
      <c r="H10">
        <f t="shared" si="0"/>
        <v>0</v>
      </c>
      <c r="I10" t="e">
        <f t="shared" si="1"/>
        <v>#DIV/0!</v>
      </c>
      <c r="J10">
        <f t="shared" si="2"/>
        <v>0</v>
      </c>
    </row>
    <row r="11" spans="1:18" x14ac:dyDescent="0.25">
      <c r="A11">
        <v>144</v>
      </c>
      <c r="B11" t="s">
        <v>150</v>
      </c>
      <c r="C11">
        <v>4</v>
      </c>
      <c r="D11">
        <v>1</v>
      </c>
      <c r="E11">
        <v>0</v>
      </c>
      <c r="F11">
        <v>1</v>
      </c>
      <c r="G11">
        <v>0</v>
      </c>
      <c r="H11">
        <f t="shared" si="0"/>
        <v>0</v>
      </c>
      <c r="I11" t="e">
        <f t="shared" si="1"/>
        <v>#DIV/0!</v>
      </c>
      <c r="J11">
        <f t="shared" si="2"/>
        <v>0</v>
      </c>
    </row>
    <row r="12" spans="1:18" x14ac:dyDescent="0.25">
      <c r="A12">
        <v>171</v>
      </c>
      <c r="B12" t="s">
        <v>177</v>
      </c>
      <c r="C12">
        <v>4</v>
      </c>
      <c r="D12">
        <v>1</v>
      </c>
      <c r="E12">
        <v>0</v>
      </c>
      <c r="F12">
        <v>1</v>
      </c>
      <c r="G12">
        <v>0</v>
      </c>
      <c r="H12">
        <f t="shared" si="0"/>
        <v>0</v>
      </c>
      <c r="I12" t="e">
        <f t="shared" si="1"/>
        <v>#DIV/0!</v>
      </c>
      <c r="J12">
        <f t="shared" si="2"/>
        <v>0</v>
      </c>
    </row>
    <row r="13" spans="1:18" x14ac:dyDescent="0.25">
      <c r="A13">
        <v>333</v>
      </c>
      <c r="B13" t="s">
        <v>339</v>
      </c>
      <c r="C13">
        <v>4</v>
      </c>
      <c r="D13">
        <v>1</v>
      </c>
      <c r="E13">
        <v>0</v>
      </c>
      <c r="F13">
        <v>1</v>
      </c>
      <c r="G13">
        <v>0</v>
      </c>
      <c r="H13">
        <f t="shared" si="0"/>
        <v>0</v>
      </c>
      <c r="I13" t="e">
        <f t="shared" si="1"/>
        <v>#DIV/0!</v>
      </c>
      <c r="J13">
        <f t="shared" si="2"/>
        <v>0</v>
      </c>
    </row>
    <row r="14" spans="1:18" x14ac:dyDescent="0.25">
      <c r="A14">
        <v>385</v>
      </c>
      <c r="B14" t="s">
        <v>391</v>
      </c>
      <c r="C14">
        <v>5</v>
      </c>
      <c r="D14">
        <v>1</v>
      </c>
      <c r="E14">
        <v>0</v>
      </c>
      <c r="F14">
        <v>1</v>
      </c>
      <c r="G14">
        <v>0</v>
      </c>
      <c r="H14">
        <f t="shared" si="0"/>
        <v>0</v>
      </c>
      <c r="I14" t="e">
        <f t="shared" si="1"/>
        <v>#DIV/0!</v>
      </c>
      <c r="J14">
        <f t="shared" si="2"/>
        <v>0</v>
      </c>
    </row>
    <row r="15" spans="1:18" x14ac:dyDescent="0.25">
      <c r="A15">
        <v>347</v>
      </c>
      <c r="B15" t="s">
        <v>353</v>
      </c>
      <c r="C15">
        <v>6</v>
      </c>
      <c r="D15">
        <v>1</v>
      </c>
      <c r="E15">
        <v>1</v>
      </c>
      <c r="F15">
        <v>0</v>
      </c>
      <c r="G15">
        <v>0</v>
      </c>
      <c r="H15">
        <f t="shared" si="0"/>
        <v>0</v>
      </c>
      <c r="I15">
        <f t="shared" si="1"/>
        <v>0</v>
      </c>
      <c r="J15" t="e">
        <f t="shared" si="2"/>
        <v>#DIV/0!</v>
      </c>
    </row>
    <row r="16" spans="1:18" x14ac:dyDescent="0.25">
      <c r="A16">
        <v>65</v>
      </c>
      <c r="B16" t="s">
        <v>71</v>
      </c>
      <c r="C16">
        <v>6</v>
      </c>
      <c r="D16">
        <v>1</v>
      </c>
      <c r="E16">
        <v>0</v>
      </c>
      <c r="F16">
        <v>1</v>
      </c>
      <c r="G16">
        <v>0</v>
      </c>
      <c r="H16">
        <f t="shared" si="0"/>
        <v>0</v>
      </c>
      <c r="I16" t="e">
        <f t="shared" si="1"/>
        <v>#DIV/0!</v>
      </c>
      <c r="J16">
        <f t="shared" si="2"/>
        <v>0</v>
      </c>
    </row>
    <row r="17" spans="1:10" x14ac:dyDescent="0.25">
      <c r="A17">
        <v>136</v>
      </c>
      <c r="B17" t="s">
        <v>142</v>
      </c>
      <c r="C17">
        <v>6</v>
      </c>
      <c r="D17">
        <v>1</v>
      </c>
      <c r="E17">
        <v>0</v>
      </c>
      <c r="F17">
        <v>1</v>
      </c>
      <c r="G17">
        <v>0</v>
      </c>
      <c r="H17">
        <f t="shared" si="0"/>
        <v>0</v>
      </c>
      <c r="I17" t="e">
        <f t="shared" si="1"/>
        <v>#DIV/0!</v>
      </c>
      <c r="J17">
        <f t="shared" si="2"/>
        <v>0</v>
      </c>
    </row>
    <row r="18" spans="1:10" x14ac:dyDescent="0.25">
      <c r="A18">
        <v>401</v>
      </c>
      <c r="B18" t="s">
        <v>407</v>
      </c>
      <c r="C18">
        <v>6</v>
      </c>
      <c r="D18">
        <v>1</v>
      </c>
      <c r="E18">
        <v>0</v>
      </c>
      <c r="F18">
        <v>1</v>
      </c>
      <c r="G18">
        <v>0</v>
      </c>
      <c r="H18">
        <f t="shared" si="0"/>
        <v>0</v>
      </c>
      <c r="I18" t="e">
        <f t="shared" si="1"/>
        <v>#DIV/0!</v>
      </c>
      <c r="J18">
        <f t="shared" si="2"/>
        <v>0</v>
      </c>
    </row>
    <row r="19" spans="1:10" x14ac:dyDescent="0.25">
      <c r="A19">
        <v>312</v>
      </c>
      <c r="B19" t="s">
        <v>318</v>
      </c>
      <c r="C19">
        <v>7</v>
      </c>
      <c r="D19">
        <v>1</v>
      </c>
      <c r="E19">
        <v>0</v>
      </c>
      <c r="F19">
        <v>1</v>
      </c>
      <c r="G19">
        <v>0</v>
      </c>
      <c r="H19">
        <f t="shared" si="0"/>
        <v>0</v>
      </c>
      <c r="I19" t="e">
        <f t="shared" si="1"/>
        <v>#DIV/0!</v>
      </c>
      <c r="J19">
        <f t="shared" si="2"/>
        <v>0</v>
      </c>
    </row>
    <row r="20" spans="1:10" x14ac:dyDescent="0.25">
      <c r="A20">
        <v>322</v>
      </c>
      <c r="B20" t="s">
        <v>328</v>
      </c>
      <c r="C20">
        <v>7</v>
      </c>
      <c r="D20">
        <v>1</v>
      </c>
      <c r="E20">
        <v>0</v>
      </c>
      <c r="F20">
        <v>1</v>
      </c>
      <c r="G20">
        <v>0</v>
      </c>
      <c r="H20">
        <f t="shared" si="0"/>
        <v>0</v>
      </c>
      <c r="I20" t="e">
        <f t="shared" si="1"/>
        <v>#DIV/0!</v>
      </c>
      <c r="J20">
        <f t="shared" si="2"/>
        <v>0</v>
      </c>
    </row>
    <row r="21" spans="1:10" x14ac:dyDescent="0.25">
      <c r="A21">
        <v>399</v>
      </c>
      <c r="B21" t="s">
        <v>405</v>
      </c>
      <c r="C21">
        <v>8</v>
      </c>
      <c r="D21">
        <v>1</v>
      </c>
      <c r="E21">
        <v>0</v>
      </c>
      <c r="F21">
        <v>1</v>
      </c>
      <c r="G21">
        <v>0</v>
      </c>
      <c r="H21">
        <f t="shared" si="0"/>
        <v>0</v>
      </c>
      <c r="I21" t="e">
        <f t="shared" si="1"/>
        <v>#DIV/0!</v>
      </c>
      <c r="J21">
        <f t="shared" si="2"/>
        <v>0</v>
      </c>
    </row>
    <row r="22" spans="1:10" x14ac:dyDescent="0.25">
      <c r="A22">
        <v>102</v>
      </c>
      <c r="B22" t="s">
        <v>108</v>
      </c>
      <c r="C22">
        <v>10</v>
      </c>
      <c r="D22">
        <v>1</v>
      </c>
      <c r="E22">
        <v>0</v>
      </c>
      <c r="F22">
        <v>1</v>
      </c>
      <c r="G22">
        <v>0</v>
      </c>
      <c r="H22">
        <f t="shared" si="0"/>
        <v>0</v>
      </c>
      <c r="I22" t="e">
        <f t="shared" si="1"/>
        <v>#DIV/0!</v>
      </c>
      <c r="J22">
        <f t="shared" si="2"/>
        <v>0</v>
      </c>
    </row>
    <row r="23" spans="1:10" x14ac:dyDescent="0.25">
      <c r="A23">
        <v>271</v>
      </c>
      <c r="B23" t="s">
        <v>277</v>
      </c>
      <c r="C23">
        <v>10</v>
      </c>
      <c r="D23">
        <v>1</v>
      </c>
      <c r="E23">
        <v>0</v>
      </c>
      <c r="F23">
        <v>1</v>
      </c>
      <c r="G23">
        <v>0</v>
      </c>
      <c r="H23">
        <f t="shared" si="0"/>
        <v>0</v>
      </c>
      <c r="I23" t="e">
        <f t="shared" si="1"/>
        <v>#DIV/0!</v>
      </c>
      <c r="J23">
        <f t="shared" si="2"/>
        <v>0</v>
      </c>
    </row>
    <row r="24" spans="1:10" x14ac:dyDescent="0.25">
      <c r="A24">
        <v>307</v>
      </c>
      <c r="B24" t="s">
        <v>313</v>
      </c>
      <c r="C24">
        <v>11</v>
      </c>
      <c r="D24">
        <v>1</v>
      </c>
      <c r="E24">
        <v>0</v>
      </c>
      <c r="F24">
        <v>1</v>
      </c>
      <c r="G24">
        <v>0</v>
      </c>
      <c r="H24">
        <f t="shared" si="0"/>
        <v>0</v>
      </c>
      <c r="I24" t="e">
        <f t="shared" si="1"/>
        <v>#DIV/0!</v>
      </c>
      <c r="J24">
        <f t="shared" si="2"/>
        <v>0</v>
      </c>
    </row>
    <row r="25" spans="1:10" x14ac:dyDescent="0.25">
      <c r="A25">
        <v>120</v>
      </c>
      <c r="B25" t="s">
        <v>126</v>
      </c>
      <c r="C25">
        <v>3</v>
      </c>
      <c r="D25">
        <v>2</v>
      </c>
      <c r="E25">
        <v>1</v>
      </c>
      <c r="F25">
        <v>1</v>
      </c>
      <c r="G25">
        <v>0</v>
      </c>
      <c r="H25">
        <f t="shared" si="0"/>
        <v>0</v>
      </c>
      <c r="I25">
        <f t="shared" si="1"/>
        <v>0</v>
      </c>
      <c r="J25">
        <f t="shared" si="2"/>
        <v>0</v>
      </c>
    </row>
    <row r="26" spans="1:10" x14ac:dyDescent="0.25">
      <c r="A26">
        <v>194</v>
      </c>
      <c r="B26" t="s">
        <v>200</v>
      </c>
      <c r="C26">
        <v>3</v>
      </c>
      <c r="D26">
        <v>2</v>
      </c>
      <c r="E26">
        <v>1</v>
      </c>
      <c r="F26">
        <v>1</v>
      </c>
      <c r="G26">
        <v>0</v>
      </c>
      <c r="H26">
        <f t="shared" si="0"/>
        <v>0</v>
      </c>
      <c r="I26">
        <f t="shared" si="1"/>
        <v>0</v>
      </c>
      <c r="J26">
        <f t="shared" si="2"/>
        <v>0</v>
      </c>
    </row>
    <row r="27" spans="1:10" x14ac:dyDescent="0.25">
      <c r="A27">
        <v>181</v>
      </c>
      <c r="B27" t="s">
        <v>187</v>
      </c>
      <c r="C27">
        <v>3</v>
      </c>
      <c r="D27">
        <v>2</v>
      </c>
      <c r="E27">
        <v>0</v>
      </c>
      <c r="F27">
        <v>2</v>
      </c>
      <c r="G27">
        <v>0</v>
      </c>
      <c r="H27">
        <f t="shared" si="0"/>
        <v>0</v>
      </c>
      <c r="I27" t="e">
        <f t="shared" si="1"/>
        <v>#DIV/0!</v>
      </c>
      <c r="J27">
        <f t="shared" si="2"/>
        <v>0</v>
      </c>
    </row>
    <row r="28" spans="1:10" x14ac:dyDescent="0.25">
      <c r="A28">
        <v>185</v>
      </c>
      <c r="B28" t="s">
        <v>191</v>
      </c>
      <c r="C28">
        <v>3</v>
      </c>
      <c r="D28">
        <v>2</v>
      </c>
      <c r="E28">
        <v>0</v>
      </c>
      <c r="F28">
        <v>2</v>
      </c>
      <c r="G28">
        <v>0</v>
      </c>
      <c r="H28">
        <f t="shared" si="0"/>
        <v>0</v>
      </c>
      <c r="I28" t="e">
        <f t="shared" si="1"/>
        <v>#DIV/0!</v>
      </c>
      <c r="J28">
        <f t="shared" si="2"/>
        <v>0</v>
      </c>
    </row>
    <row r="29" spans="1:10" x14ac:dyDescent="0.25">
      <c r="A29">
        <v>224</v>
      </c>
      <c r="B29" t="s">
        <v>230</v>
      </c>
      <c r="C29">
        <v>3</v>
      </c>
      <c r="D29">
        <v>2</v>
      </c>
      <c r="E29">
        <v>0</v>
      </c>
      <c r="F29">
        <v>2</v>
      </c>
      <c r="G29">
        <v>0</v>
      </c>
      <c r="H29">
        <f t="shared" si="0"/>
        <v>0</v>
      </c>
      <c r="I29" t="e">
        <f t="shared" si="1"/>
        <v>#DIV/0!</v>
      </c>
      <c r="J29">
        <f t="shared" si="2"/>
        <v>0</v>
      </c>
    </row>
    <row r="30" spans="1:10" x14ac:dyDescent="0.25">
      <c r="A30">
        <v>106</v>
      </c>
      <c r="B30" t="s">
        <v>112</v>
      </c>
      <c r="C30">
        <v>4</v>
      </c>
      <c r="D30">
        <v>2</v>
      </c>
      <c r="E30">
        <v>0</v>
      </c>
      <c r="F30">
        <v>2</v>
      </c>
      <c r="G30">
        <v>0</v>
      </c>
      <c r="H30">
        <f t="shared" si="0"/>
        <v>0</v>
      </c>
      <c r="I30" t="e">
        <f t="shared" si="1"/>
        <v>#DIV/0!</v>
      </c>
      <c r="J30">
        <f t="shared" si="2"/>
        <v>0</v>
      </c>
    </row>
    <row r="31" spans="1:10" x14ac:dyDescent="0.25">
      <c r="A31">
        <v>370</v>
      </c>
      <c r="B31" t="s">
        <v>376</v>
      </c>
      <c r="C31">
        <v>4</v>
      </c>
      <c r="D31">
        <v>2</v>
      </c>
      <c r="E31">
        <v>0</v>
      </c>
      <c r="F31">
        <v>2</v>
      </c>
      <c r="G31">
        <v>0</v>
      </c>
      <c r="H31">
        <f t="shared" si="0"/>
        <v>0</v>
      </c>
      <c r="I31" t="e">
        <f t="shared" si="1"/>
        <v>#DIV/0!</v>
      </c>
      <c r="J31">
        <f t="shared" si="2"/>
        <v>0</v>
      </c>
    </row>
    <row r="32" spans="1:10" x14ac:dyDescent="0.25">
      <c r="A32">
        <v>107</v>
      </c>
      <c r="B32" t="s">
        <v>113</v>
      </c>
      <c r="C32">
        <v>5</v>
      </c>
      <c r="D32">
        <v>2</v>
      </c>
      <c r="E32">
        <v>0</v>
      </c>
      <c r="F32">
        <v>2</v>
      </c>
      <c r="G32">
        <v>0</v>
      </c>
      <c r="H32">
        <f t="shared" si="0"/>
        <v>0</v>
      </c>
      <c r="I32" t="e">
        <f t="shared" si="1"/>
        <v>#DIV/0!</v>
      </c>
      <c r="J32">
        <f t="shared" si="2"/>
        <v>0</v>
      </c>
    </row>
    <row r="33" spans="1:10" x14ac:dyDescent="0.25">
      <c r="A33">
        <v>108</v>
      </c>
      <c r="B33" t="s">
        <v>114</v>
      </c>
      <c r="C33">
        <v>5</v>
      </c>
      <c r="D33">
        <v>2</v>
      </c>
      <c r="E33">
        <v>0</v>
      </c>
      <c r="F33">
        <v>2</v>
      </c>
      <c r="G33">
        <v>0</v>
      </c>
      <c r="H33">
        <f t="shared" si="0"/>
        <v>0</v>
      </c>
      <c r="I33" t="e">
        <f t="shared" si="1"/>
        <v>#DIV/0!</v>
      </c>
      <c r="J33">
        <f t="shared" si="2"/>
        <v>0</v>
      </c>
    </row>
    <row r="34" spans="1:10" x14ac:dyDescent="0.25">
      <c r="A34">
        <v>402</v>
      </c>
      <c r="B34" t="s">
        <v>408</v>
      </c>
      <c r="C34">
        <v>5</v>
      </c>
      <c r="D34">
        <v>2</v>
      </c>
      <c r="E34">
        <v>0</v>
      </c>
      <c r="F34">
        <v>2</v>
      </c>
      <c r="G34">
        <v>0</v>
      </c>
      <c r="H34">
        <f t="shared" si="0"/>
        <v>0</v>
      </c>
      <c r="I34" t="e">
        <f t="shared" si="1"/>
        <v>#DIV/0!</v>
      </c>
      <c r="J34">
        <f t="shared" si="2"/>
        <v>0</v>
      </c>
    </row>
    <row r="35" spans="1:10" x14ac:dyDescent="0.25">
      <c r="A35">
        <v>412</v>
      </c>
      <c r="B35" t="s">
        <v>418</v>
      </c>
      <c r="C35">
        <v>5</v>
      </c>
      <c r="D35">
        <v>2</v>
      </c>
      <c r="E35">
        <v>0</v>
      </c>
      <c r="F35">
        <v>2</v>
      </c>
      <c r="G35">
        <v>0</v>
      </c>
      <c r="H35">
        <f t="shared" si="0"/>
        <v>0</v>
      </c>
      <c r="I35" t="e">
        <f t="shared" si="1"/>
        <v>#DIV/0!</v>
      </c>
      <c r="J35">
        <f t="shared" si="2"/>
        <v>0</v>
      </c>
    </row>
    <row r="36" spans="1:10" x14ac:dyDescent="0.25">
      <c r="A36">
        <v>210</v>
      </c>
      <c r="B36" t="s">
        <v>216</v>
      </c>
      <c r="C36">
        <v>6</v>
      </c>
      <c r="D36">
        <v>2</v>
      </c>
      <c r="E36">
        <v>2</v>
      </c>
      <c r="F36">
        <v>0</v>
      </c>
      <c r="G36">
        <v>0</v>
      </c>
      <c r="H36">
        <f t="shared" si="0"/>
        <v>0</v>
      </c>
      <c r="I36">
        <f t="shared" si="1"/>
        <v>0</v>
      </c>
      <c r="J36" t="e">
        <f t="shared" si="2"/>
        <v>#DIV/0!</v>
      </c>
    </row>
    <row r="37" spans="1:10" x14ac:dyDescent="0.25">
      <c r="A37">
        <v>258</v>
      </c>
      <c r="B37" t="s">
        <v>264</v>
      </c>
      <c r="C37">
        <v>6</v>
      </c>
      <c r="D37">
        <v>2</v>
      </c>
      <c r="E37">
        <v>0</v>
      </c>
      <c r="F37">
        <v>2</v>
      </c>
      <c r="G37">
        <v>0</v>
      </c>
      <c r="H37">
        <f t="shared" si="0"/>
        <v>0</v>
      </c>
      <c r="I37" t="e">
        <f t="shared" si="1"/>
        <v>#DIV/0!</v>
      </c>
      <c r="J37">
        <f t="shared" si="2"/>
        <v>0</v>
      </c>
    </row>
    <row r="38" spans="1:10" x14ac:dyDescent="0.25">
      <c r="A38">
        <v>216</v>
      </c>
      <c r="B38" t="s">
        <v>222</v>
      </c>
      <c r="C38">
        <v>7</v>
      </c>
      <c r="D38">
        <v>2</v>
      </c>
      <c r="E38">
        <v>0</v>
      </c>
      <c r="F38">
        <v>2</v>
      </c>
      <c r="G38">
        <v>0</v>
      </c>
      <c r="H38">
        <f t="shared" si="0"/>
        <v>0</v>
      </c>
      <c r="I38" t="e">
        <f t="shared" si="1"/>
        <v>#DIV/0!</v>
      </c>
      <c r="J38">
        <f t="shared" si="2"/>
        <v>0</v>
      </c>
    </row>
    <row r="39" spans="1:10" x14ac:dyDescent="0.25">
      <c r="A39">
        <v>54</v>
      </c>
      <c r="B39" t="s">
        <v>60</v>
      </c>
      <c r="C39">
        <v>8</v>
      </c>
      <c r="D39">
        <v>2</v>
      </c>
      <c r="E39">
        <v>0</v>
      </c>
      <c r="F39">
        <v>2</v>
      </c>
      <c r="G39">
        <v>0</v>
      </c>
      <c r="H39">
        <f t="shared" si="0"/>
        <v>0</v>
      </c>
      <c r="I39" t="e">
        <f t="shared" si="1"/>
        <v>#DIV/0!</v>
      </c>
      <c r="J39">
        <f t="shared" si="2"/>
        <v>0</v>
      </c>
    </row>
    <row r="40" spans="1:10" x14ac:dyDescent="0.25">
      <c r="A40">
        <v>201</v>
      </c>
      <c r="B40" t="s">
        <v>207</v>
      </c>
      <c r="C40">
        <v>9</v>
      </c>
      <c r="D40">
        <v>2</v>
      </c>
      <c r="E40">
        <v>0</v>
      </c>
      <c r="F40">
        <v>2</v>
      </c>
      <c r="G40">
        <v>0</v>
      </c>
      <c r="H40">
        <f t="shared" si="0"/>
        <v>0</v>
      </c>
      <c r="I40" t="e">
        <f t="shared" si="1"/>
        <v>#DIV/0!</v>
      </c>
      <c r="J40">
        <f t="shared" si="2"/>
        <v>0</v>
      </c>
    </row>
    <row r="41" spans="1:10" x14ac:dyDescent="0.25">
      <c r="A41">
        <v>122</v>
      </c>
      <c r="B41" t="s">
        <v>128</v>
      </c>
      <c r="C41">
        <v>32</v>
      </c>
      <c r="D41">
        <v>2</v>
      </c>
      <c r="E41">
        <v>0</v>
      </c>
      <c r="F41">
        <v>2</v>
      </c>
      <c r="G41">
        <v>0</v>
      </c>
      <c r="H41">
        <f t="shared" si="0"/>
        <v>0</v>
      </c>
      <c r="I41" t="e">
        <f t="shared" si="1"/>
        <v>#DIV/0!</v>
      </c>
      <c r="J41">
        <f t="shared" si="2"/>
        <v>0</v>
      </c>
    </row>
    <row r="42" spans="1:10" x14ac:dyDescent="0.25">
      <c r="A42">
        <v>4</v>
      </c>
      <c r="B42" t="s">
        <v>10</v>
      </c>
      <c r="C42">
        <v>4</v>
      </c>
      <c r="D42">
        <v>3</v>
      </c>
      <c r="E42">
        <v>1</v>
      </c>
      <c r="F42">
        <v>2</v>
      </c>
      <c r="G42">
        <v>0</v>
      </c>
      <c r="H42">
        <f t="shared" si="0"/>
        <v>0</v>
      </c>
      <c r="I42">
        <f t="shared" si="1"/>
        <v>0</v>
      </c>
      <c r="J42">
        <f t="shared" si="2"/>
        <v>0</v>
      </c>
    </row>
    <row r="43" spans="1:10" x14ac:dyDescent="0.25">
      <c r="A43">
        <v>169</v>
      </c>
      <c r="B43" t="s">
        <v>175</v>
      </c>
      <c r="C43">
        <v>4</v>
      </c>
      <c r="D43">
        <v>3</v>
      </c>
      <c r="E43">
        <v>1</v>
      </c>
      <c r="F43">
        <v>2</v>
      </c>
      <c r="G43">
        <v>0</v>
      </c>
      <c r="H43">
        <f t="shared" si="0"/>
        <v>0</v>
      </c>
      <c r="I43">
        <f t="shared" si="1"/>
        <v>0</v>
      </c>
      <c r="J43">
        <f t="shared" si="2"/>
        <v>0</v>
      </c>
    </row>
    <row r="44" spans="1:10" x14ac:dyDescent="0.25">
      <c r="A44">
        <v>213</v>
      </c>
      <c r="B44" t="s">
        <v>219</v>
      </c>
      <c r="C44">
        <v>4</v>
      </c>
      <c r="D44">
        <v>3</v>
      </c>
      <c r="E44">
        <v>1</v>
      </c>
      <c r="F44">
        <v>2</v>
      </c>
      <c r="G44">
        <v>0</v>
      </c>
      <c r="H44">
        <f t="shared" si="0"/>
        <v>0</v>
      </c>
      <c r="I44">
        <f t="shared" si="1"/>
        <v>0</v>
      </c>
      <c r="J44">
        <f t="shared" si="2"/>
        <v>0</v>
      </c>
    </row>
    <row r="45" spans="1:10" x14ac:dyDescent="0.25">
      <c r="A45">
        <v>362</v>
      </c>
      <c r="B45" t="s">
        <v>368</v>
      </c>
      <c r="C45">
        <v>4</v>
      </c>
      <c r="D45">
        <v>3</v>
      </c>
      <c r="E45">
        <v>0</v>
      </c>
      <c r="F45">
        <v>3</v>
      </c>
      <c r="G45">
        <v>0</v>
      </c>
      <c r="H45">
        <f t="shared" si="0"/>
        <v>0</v>
      </c>
      <c r="I45" t="e">
        <f t="shared" si="1"/>
        <v>#DIV/0!</v>
      </c>
      <c r="J45">
        <f t="shared" si="2"/>
        <v>0</v>
      </c>
    </row>
    <row r="46" spans="1:10" x14ac:dyDescent="0.25">
      <c r="A46">
        <v>16</v>
      </c>
      <c r="B46" t="s">
        <v>22</v>
      </c>
      <c r="C46">
        <v>5</v>
      </c>
      <c r="D46">
        <v>3</v>
      </c>
      <c r="E46">
        <v>3</v>
      </c>
      <c r="F46">
        <v>0</v>
      </c>
      <c r="G46">
        <v>0</v>
      </c>
      <c r="H46">
        <f t="shared" si="0"/>
        <v>0</v>
      </c>
      <c r="I46">
        <f t="shared" si="1"/>
        <v>0</v>
      </c>
      <c r="J46" t="e">
        <f t="shared" si="2"/>
        <v>#DIV/0!</v>
      </c>
    </row>
    <row r="47" spans="1:10" x14ac:dyDescent="0.25">
      <c r="A47">
        <v>178</v>
      </c>
      <c r="B47" t="s">
        <v>184</v>
      </c>
      <c r="C47">
        <v>7</v>
      </c>
      <c r="D47">
        <v>3</v>
      </c>
      <c r="E47">
        <v>1</v>
      </c>
      <c r="F47">
        <v>2</v>
      </c>
      <c r="G47">
        <v>0</v>
      </c>
      <c r="H47">
        <f t="shared" si="0"/>
        <v>0</v>
      </c>
      <c r="I47">
        <f t="shared" si="1"/>
        <v>0</v>
      </c>
      <c r="J47">
        <f t="shared" si="2"/>
        <v>0</v>
      </c>
    </row>
    <row r="48" spans="1:10" x14ac:dyDescent="0.25">
      <c r="A48">
        <v>42</v>
      </c>
      <c r="B48" t="s">
        <v>48</v>
      </c>
      <c r="C48">
        <v>8</v>
      </c>
      <c r="D48">
        <v>3</v>
      </c>
      <c r="E48">
        <v>0</v>
      </c>
      <c r="F48">
        <v>3</v>
      </c>
      <c r="G48">
        <v>0</v>
      </c>
      <c r="H48">
        <f t="shared" si="0"/>
        <v>0</v>
      </c>
      <c r="I48" t="e">
        <f t="shared" si="1"/>
        <v>#DIV/0!</v>
      </c>
      <c r="J48">
        <f t="shared" si="2"/>
        <v>0</v>
      </c>
    </row>
    <row r="49" spans="1:10" x14ac:dyDescent="0.25">
      <c r="A49">
        <v>139</v>
      </c>
      <c r="B49" t="s">
        <v>145</v>
      </c>
      <c r="C49">
        <v>9</v>
      </c>
      <c r="D49">
        <v>3</v>
      </c>
      <c r="E49">
        <v>1</v>
      </c>
      <c r="F49">
        <v>2</v>
      </c>
      <c r="G49">
        <v>0</v>
      </c>
      <c r="H49">
        <f t="shared" si="0"/>
        <v>0</v>
      </c>
      <c r="I49">
        <f t="shared" si="1"/>
        <v>0</v>
      </c>
      <c r="J49">
        <f t="shared" si="2"/>
        <v>0</v>
      </c>
    </row>
    <row r="50" spans="1:10" x14ac:dyDescent="0.25">
      <c r="A50">
        <v>66</v>
      </c>
      <c r="B50" t="s">
        <v>72</v>
      </c>
      <c r="C50">
        <v>16</v>
      </c>
      <c r="D50">
        <v>3</v>
      </c>
      <c r="E50">
        <v>1</v>
      </c>
      <c r="F50">
        <v>2</v>
      </c>
      <c r="G50">
        <v>0</v>
      </c>
      <c r="H50">
        <f t="shared" si="0"/>
        <v>0</v>
      </c>
      <c r="I50">
        <f t="shared" si="1"/>
        <v>0</v>
      </c>
      <c r="J50">
        <f t="shared" si="2"/>
        <v>0</v>
      </c>
    </row>
    <row r="51" spans="1:10" x14ac:dyDescent="0.25">
      <c r="A51">
        <v>223</v>
      </c>
      <c r="B51" t="s">
        <v>229</v>
      </c>
      <c r="C51">
        <v>19</v>
      </c>
      <c r="D51">
        <v>3</v>
      </c>
      <c r="E51">
        <v>1</v>
      </c>
      <c r="F51">
        <v>2</v>
      </c>
      <c r="G51">
        <v>0</v>
      </c>
      <c r="H51">
        <f t="shared" si="0"/>
        <v>0</v>
      </c>
      <c r="I51">
        <f t="shared" si="1"/>
        <v>0</v>
      </c>
      <c r="J51">
        <f t="shared" si="2"/>
        <v>0</v>
      </c>
    </row>
    <row r="52" spans="1:10" x14ac:dyDescent="0.25">
      <c r="A52">
        <v>346</v>
      </c>
      <c r="B52" t="s">
        <v>352</v>
      </c>
      <c r="C52">
        <v>5</v>
      </c>
      <c r="D52">
        <v>4</v>
      </c>
      <c r="E52">
        <v>1</v>
      </c>
      <c r="F52">
        <v>3</v>
      </c>
      <c r="G52">
        <v>0</v>
      </c>
      <c r="H52">
        <f t="shared" si="0"/>
        <v>0</v>
      </c>
      <c r="I52">
        <f t="shared" si="1"/>
        <v>0</v>
      </c>
      <c r="J52">
        <f t="shared" si="2"/>
        <v>0</v>
      </c>
    </row>
    <row r="53" spans="1:10" x14ac:dyDescent="0.25">
      <c r="A53">
        <v>137</v>
      </c>
      <c r="B53" t="s">
        <v>143</v>
      </c>
      <c r="C53">
        <v>5</v>
      </c>
      <c r="D53">
        <v>4</v>
      </c>
      <c r="E53">
        <v>0</v>
      </c>
      <c r="F53">
        <v>4</v>
      </c>
      <c r="G53">
        <v>0</v>
      </c>
      <c r="H53">
        <f t="shared" si="0"/>
        <v>0</v>
      </c>
      <c r="I53" t="e">
        <f t="shared" si="1"/>
        <v>#DIV/0!</v>
      </c>
      <c r="J53">
        <f t="shared" si="2"/>
        <v>0</v>
      </c>
    </row>
    <row r="54" spans="1:10" x14ac:dyDescent="0.25">
      <c r="A54">
        <v>236</v>
      </c>
      <c r="B54" t="s">
        <v>242</v>
      </c>
      <c r="C54">
        <v>5</v>
      </c>
      <c r="D54">
        <v>4</v>
      </c>
      <c r="E54">
        <v>0</v>
      </c>
      <c r="F54">
        <v>4</v>
      </c>
      <c r="G54">
        <v>0</v>
      </c>
      <c r="H54">
        <f t="shared" si="0"/>
        <v>0</v>
      </c>
      <c r="I54" t="e">
        <f t="shared" si="1"/>
        <v>#DIV/0!</v>
      </c>
      <c r="J54">
        <f t="shared" si="2"/>
        <v>0</v>
      </c>
    </row>
    <row r="55" spans="1:10" x14ac:dyDescent="0.25">
      <c r="A55">
        <v>319</v>
      </c>
      <c r="B55" t="s">
        <v>325</v>
      </c>
      <c r="C55">
        <v>5</v>
      </c>
      <c r="D55">
        <v>4</v>
      </c>
      <c r="E55">
        <v>0</v>
      </c>
      <c r="F55">
        <v>4</v>
      </c>
      <c r="G55">
        <v>0</v>
      </c>
      <c r="H55">
        <f t="shared" si="0"/>
        <v>0</v>
      </c>
      <c r="I55" t="e">
        <f t="shared" si="1"/>
        <v>#DIV/0!</v>
      </c>
      <c r="J55">
        <f t="shared" si="2"/>
        <v>0</v>
      </c>
    </row>
    <row r="56" spans="1:10" x14ac:dyDescent="0.25">
      <c r="A56">
        <v>320</v>
      </c>
      <c r="B56" t="s">
        <v>326</v>
      </c>
      <c r="C56">
        <v>5</v>
      </c>
      <c r="D56">
        <v>4</v>
      </c>
      <c r="E56">
        <v>0</v>
      </c>
      <c r="F56">
        <v>4</v>
      </c>
      <c r="G56">
        <v>0</v>
      </c>
      <c r="H56">
        <f t="shared" si="0"/>
        <v>0</v>
      </c>
      <c r="I56" t="e">
        <f t="shared" si="1"/>
        <v>#DIV/0!</v>
      </c>
      <c r="J56">
        <f t="shared" si="2"/>
        <v>0</v>
      </c>
    </row>
    <row r="57" spans="1:10" x14ac:dyDescent="0.25">
      <c r="A57">
        <v>350</v>
      </c>
      <c r="B57" t="s">
        <v>356</v>
      </c>
      <c r="C57">
        <v>5</v>
      </c>
      <c r="D57">
        <v>4</v>
      </c>
      <c r="E57">
        <v>0</v>
      </c>
      <c r="F57">
        <v>4</v>
      </c>
      <c r="G57">
        <v>0</v>
      </c>
      <c r="H57">
        <f t="shared" si="0"/>
        <v>0</v>
      </c>
      <c r="I57" t="e">
        <f t="shared" si="1"/>
        <v>#DIV/0!</v>
      </c>
      <c r="J57">
        <f t="shared" si="2"/>
        <v>0</v>
      </c>
    </row>
    <row r="58" spans="1:10" x14ac:dyDescent="0.25">
      <c r="A58">
        <v>337</v>
      </c>
      <c r="B58" t="s">
        <v>343</v>
      </c>
      <c r="C58">
        <v>7</v>
      </c>
      <c r="D58">
        <v>4</v>
      </c>
      <c r="E58">
        <v>0</v>
      </c>
      <c r="F58">
        <v>4</v>
      </c>
      <c r="G58">
        <v>0</v>
      </c>
      <c r="H58">
        <f t="shared" si="0"/>
        <v>0</v>
      </c>
      <c r="I58" t="e">
        <f t="shared" si="1"/>
        <v>#DIV/0!</v>
      </c>
      <c r="J58">
        <f t="shared" si="2"/>
        <v>0</v>
      </c>
    </row>
    <row r="59" spans="1:10" x14ac:dyDescent="0.25">
      <c r="A59">
        <v>173</v>
      </c>
      <c r="B59" t="s">
        <v>179</v>
      </c>
      <c r="C59">
        <v>8</v>
      </c>
      <c r="D59">
        <v>4</v>
      </c>
      <c r="E59">
        <v>0</v>
      </c>
      <c r="F59">
        <v>4</v>
      </c>
      <c r="G59">
        <v>0</v>
      </c>
      <c r="H59">
        <f t="shared" si="0"/>
        <v>0</v>
      </c>
      <c r="I59" t="e">
        <f t="shared" si="1"/>
        <v>#DIV/0!</v>
      </c>
      <c r="J59">
        <f t="shared" si="2"/>
        <v>0</v>
      </c>
    </row>
    <row r="60" spans="1:10" x14ac:dyDescent="0.25">
      <c r="A60">
        <v>276</v>
      </c>
      <c r="B60" t="s">
        <v>282</v>
      </c>
      <c r="C60">
        <v>10</v>
      </c>
      <c r="D60">
        <v>4</v>
      </c>
      <c r="E60">
        <v>1</v>
      </c>
      <c r="F60">
        <v>3</v>
      </c>
      <c r="G60">
        <v>0</v>
      </c>
      <c r="H60">
        <f t="shared" si="0"/>
        <v>0</v>
      </c>
      <c r="I60">
        <f t="shared" si="1"/>
        <v>0</v>
      </c>
      <c r="J60">
        <f t="shared" si="2"/>
        <v>0</v>
      </c>
    </row>
    <row r="61" spans="1:10" x14ac:dyDescent="0.25">
      <c r="A61">
        <v>116</v>
      </c>
      <c r="B61" t="s">
        <v>122</v>
      </c>
      <c r="C61">
        <v>12</v>
      </c>
      <c r="D61">
        <v>4</v>
      </c>
      <c r="E61">
        <v>0</v>
      </c>
      <c r="F61">
        <v>4</v>
      </c>
      <c r="G61">
        <v>0</v>
      </c>
      <c r="H61">
        <f t="shared" si="0"/>
        <v>0</v>
      </c>
      <c r="I61" t="e">
        <f t="shared" si="1"/>
        <v>#DIV/0!</v>
      </c>
      <c r="J61">
        <f t="shared" si="2"/>
        <v>0</v>
      </c>
    </row>
    <row r="62" spans="1:10" x14ac:dyDescent="0.25">
      <c r="A62">
        <v>49</v>
      </c>
      <c r="B62" t="s">
        <v>55</v>
      </c>
      <c r="C62">
        <v>13</v>
      </c>
      <c r="D62">
        <v>4</v>
      </c>
      <c r="E62">
        <v>0</v>
      </c>
      <c r="F62">
        <v>4</v>
      </c>
      <c r="G62">
        <v>0</v>
      </c>
      <c r="H62">
        <f t="shared" si="0"/>
        <v>0</v>
      </c>
      <c r="I62" t="e">
        <f t="shared" si="1"/>
        <v>#DIV/0!</v>
      </c>
      <c r="J62">
        <f t="shared" si="2"/>
        <v>0</v>
      </c>
    </row>
    <row r="63" spans="1:10" x14ac:dyDescent="0.25">
      <c r="A63">
        <v>132</v>
      </c>
      <c r="B63" t="s">
        <v>138</v>
      </c>
      <c r="C63">
        <v>6</v>
      </c>
      <c r="D63">
        <v>5</v>
      </c>
      <c r="E63">
        <v>0</v>
      </c>
      <c r="F63">
        <v>5</v>
      </c>
      <c r="G63">
        <v>0</v>
      </c>
      <c r="H63">
        <f t="shared" si="0"/>
        <v>0</v>
      </c>
      <c r="I63" t="e">
        <f t="shared" si="1"/>
        <v>#DIV/0!</v>
      </c>
      <c r="J63">
        <f t="shared" si="2"/>
        <v>0</v>
      </c>
    </row>
    <row r="64" spans="1:10" x14ac:dyDescent="0.25">
      <c r="A64">
        <v>291</v>
      </c>
      <c r="B64" t="s">
        <v>297</v>
      </c>
      <c r="C64">
        <v>6</v>
      </c>
      <c r="D64">
        <v>5</v>
      </c>
      <c r="E64">
        <v>0</v>
      </c>
      <c r="F64">
        <v>5</v>
      </c>
      <c r="G64">
        <v>0</v>
      </c>
      <c r="H64">
        <f t="shared" si="0"/>
        <v>0</v>
      </c>
      <c r="I64" t="e">
        <f t="shared" si="1"/>
        <v>#DIV/0!</v>
      </c>
      <c r="J64">
        <f t="shared" si="2"/>
        <v>0</v>
      </c>
    </row>
    <row r="65" spans="1:10" x14ac:dyDescent="0.25">
      <c r="A65">
        <v>297</v>
      </c>
      <c r="B65" t="s">
        <v>303</v>
      </c>
      <c r="C65">
        <v>6</v>
      </c>
      <c r="D65">
        <v>5</v>
      </c>
      <c r="E65">
        <v>0</v>
      </c>
      <c r="F65">
        <v>5</v>
      </c>
      <c r="G65">
        <v>0</v>
      </c>
      <c r="H65">
        <f t="shared" si="0"/>
        <v>0</v>
      </c>
      <c r="I65" t="e">
        <f t="shared" si="1"/>
        <v>#DIV/0!</v>
      </c>
      <c r="J65">
        <f t="shared" si="2"/>
        <v>0</v>
      </c>
    </row>
    <row r="66" spans="1:10" x14ac:dyDescent="0.25">
      <c r="A66">
        <v>332</v>
      </c>
      <c r="B66" t="s">
        <v>338</v>
      </c>
      <c r="C66">
        <v>6</v>
      </c>
      <c r="D66">
        <v>5</v>
      </c>
      <c r="E66">
        <v>0</v>
      </c>
      <c r="F66">
        <v>5</v>
      </c>
      <c r="G66">
        <v>0</v>
      </c>
      <c r="H66">
        <f t="shared" ref="H66:H129" si="3">G66/D66</f>
        <v>0</v>
      </c>
      <c r="I66" t="e">
        <f t="shared" ref="I66:I129" si="4">G66/E66</f>
        <v>#DIV/0!</v>
      </c>
      <c r="J66">
        <f t="shared" ref="J66:J129" si="5">G66/F66</f>
        <v>0</v>
      </c>
    </row>
    <row r="67" spans="1:10" x14ac:dyDescent="0.25">
      <c r="A67">
        <v>148</v>
      </c>
      <c r="B67" t="s">
        <v>154</v>
      </c>
      <c r="C67">
        <v>8</v>
      </c>
      <c r="D67">
        <v>5</v>
      </c>
      <c r="E67">
        <v>2</v>
      </c>
      <c r="F67">
        <v>3</v>
      </c>
      <c r="G67">
        <v>0</v>
      </c>
      <c r="H67">
        <f t="shared" si="3"/>
        <v>0</v>
      </c>
      <c r="I67">
        <f t="shared" si="4"/>
        <v>0</v>
      </c>
      <c r="J67">
        <f t="shared" si="5"/>
        <v>0</v>
      </c>
    </row>
    <row r="68" spans="1:10" x14ac:dyDescent="0.25">
      <c r="A68">
        <v>377</v>
      </c>
      <c r="B68" t="s">
        <v>383</v>
      </c>
      <c r="C68">
        <v>8</v>
      </c>
      <c r="D68">
        <v>5</v>
      </c>
      <c r="E68">
        <v>0</v>
      </c>
      <c r="F68">
        <v>5</v>
      </c>
      <c r="G68">
        <v>0</v>
      </c>
      <c r="H68">
        <f t="shared" si="3"/>
        <v>0</v>
      </c>
      <c r="I68" t="e">
        <f t="shared" si="4"/>
        <v>#DIV/0!</v>
      </c>
      <c r="J68">
        <f t="shared" si="5"/>
        <v>0</v>
      </c>
    </row>
    <row r="69" spans="1:10" x14ac:dyDescent="0.25">
      <c r="A69">
        <v>311</v>
      </c>
      <c r="B69" t="s">
        <v>317</v>
      </c>
      <c r="C69">
        <v>11</v>
      </c>
      <c r="D69">
        <v>5</v>
      </c>
      <c r="E69">
        <v>0</v>
      </c>
      <c r="F69">
        <v>5</v>
      </c>
      <c r="G69">
        <v>0</v>
      </c>
      <c r="H69">
        <f t="shared" si="3"/>
        <v>0</v>
      </c>
      <c r="I69" t="e">
        <f t="shared" si="4"/>
        <v>#DIV/0!</v>
      </c>
      <c r="J69">
        <f t="shared" si="5"/>
        <v>0</v>
      </c>
    </row>
    <row r="70" spans="1:10" x14ac:dyDescent="0.25">
      <c r="A70">
        <v>219</v>
      </c>
      <c r="B70" t="s">
        <v>225</v>
      </c>
      <c r="C70">
        <v>16</v>
      </c>
      <c r="D70">
        <v>5</v>
      </c>
      <c r="E70">
        <v>0</v>
      </c>
      <c r="F70">
        <v>5</v>
      </c>
      <c r="G70">
        <v>0</v>
      </c>
      <c r="H70">
        <f t="shared" si="3"/>
        <v>0</v>
      </c>
      <c r="I70" t="e">
        <f t="shared" si="4"/>
        <v>#DIV/0!</v>
      </c>
      <c r="J70">
        <f t="shared" si="5"/>
        <v>0</v>
      </c>
    </row>
    <row r="71" spans="1:10" x14ac:dyDescent="0.25">
      <c r="A71">
        <v>222</v>
      </c>
      <c r="B71" t="s">
        <v>228</v>
      </c>
      <c r="C71">
        <v>16</v>
      </c>
      <c r="D71">
        <v>5</v>
      </c>
      <c r="E71">
        <v>0</v>
      </c>
      <c r="F71">
        <v>5</v>
      </c>
      <c r="G71">
        <v>0</v>
      </c>
      <c r="H71">
        <f t="shared" si="3"/>
        <v>0</v>
      </c>
      <c r="I71" t="e">
        <f t="shared" si="4"/>
        <v>#DIV/0!</v>
      </c>
      <c r="J71">
        <f t="shared" si="5"/>
        <v>0</v>
      </c>
    </row>
    <row r="72" spans="1:10" x14ac:dyDescent="0.25">
      <c r="A72">
        <v>331</v>
      </c>
      <c r="B72" t="s">
        <v>337</v>
      </c>
      <c r="C72">
        <v>7</v>
      </c>
      <c r="D72">
        <v>6</v>
      </c>
      <c r="E72">
        <v>1</v>
      </c>
      <c r="F72">
        <v>5</v>
      </c>
      <c r="G72">
        <v>0</v>
      </c>
      <c r="H72">
        <f t="shared" si="3"/>
        <v>0</v>
      </c>
      <c r="I72">
        <f t="shared" si="4"/>
        <v>0</v>
      </c>
      <c r="J72">
        <f t="shared" si="5"/>
        <v>0</v>
      </c>
    </row>
    <row r="73" spans="1:10" x14ac:dyDescent="0.25">
      <c r="A73">
        <v>105</v>
      </c>
      <c r="B73" t="s">
        <v>111</v>
      </c>
      <c r="C73">
        <v>7</v>
      </c>
      <c r="D73">
        <v>6</v>
      </c>
      <c r="E73">
        <v>0</v>
      </c>
      <c r="F73">
        <v>6</v>
      </c>
      <c r="G73">
        <v>0</v>
      </c>
      <c r="H73">
        <f t="shared" si="3"/>
        <v>0</v>
      </c>
      <c r="I73" t="e">
        <f t="shared" si="4"/>
        <v>#DIV/0!</v>
      </c>
      <c r="J73">
        <f t="shared" si="5"/>
        <v>0</v>
      </c>
    </row>
    <row r="74" spans="1:10" x14ac:dyDescent="0.25">
      <c r="A74">
        <v>131</v>
      </c>
      <c r="B74" t="s">
        <v>137</v>
      </c>
      <c r="C74">
        <v>7</v>
      </c>
      <c r="D74">
        <v>6</v>
      </c>
      <c r="E74">
        <v>0</v>
      </c>
      <c r="F74">
        <v>6</v>
      </c>
      <c r="G74">
        <v>0</v>
      </c>
      <c r="H74">
        <f t="shared" si="3"/>
        <v>0</v>
      </c>
      <c r="I74" t="e">
        <f t="shared" si="4"/>
        <v>#DIV/0!</v>
      </c>
      <c r="J74">
        <f t="shared" si="5"/>
        <v>0</v>
      </c>
    </row>
    <row r="75" spans="1:10" x14ac:dyDescent="0.25">
      <c r="A75">
        <v>50</v>
      </c>
      <c r="B75" t="s">
        <v>56</v>
      </c>
      <c r="C75">
        <v>8</v>
      </c>
      <c r="D75">
        <v>6</v>
      </c>
      <c r="E75">
        <v>2</v>
      </c>
      <c r="F75">
        <v>4</v>
      </c>
      <c r="G75">
        <v>0</v>
      </c>
      <c r="H75">
        <f t="shared" si="3"/>
        <v>0</v>
      </c>
      <c r="I75">
        <f t="shared" si="4"/>
        <v>0</v>
      </c>
      <c r="J75">
        <f t="shared" si="5"/>
        <v>0</v>
      </c>
    </row>
    <row r="76" spans="1:10" x14ac:dyDescent="0.25">
      <c r="A76">
        <v>203</v>
      </c>
      <c r="B76" t="s">
        <v>209</v>
      </c>
      <c r="C76">
        <v>8</v>
      </c>
      <c r="D76">
        <v>6</v>
      </c>
      <c r="E76">
        <v>2</v>
      </c>
      <c r="F76">
        <v>4</v>
      </c>
      <c r="G76">
        <v>0</v>
      </c>
      <c r="H76">
        <f t="shared" si="3"/>
        <v>0</v>
      </c>
      <c r="I76">
        <f t="shared" si="4"/>
        <v>0</v>
      </c>
      <c r="J76">
        <f t="shared" si="5"/>
        <v>0</v>
      </c>
    </row>
    <row r="77" spans="1:10" x14ac:dyDescent="0.25">
      <c r="A77">
        <v>129</v>
      </c>
      <c r="B77" t="s">
        <v>135</v>
      </c>
      <c r="C77">
        <v>8</v>
      </c>
      <c r="D77">
        <v>6</v>
      </c>
      <c r="E77">
        <v>1</v>
      </c>
      <c r="F77">
        <v>5</v>
      </c>
      <c r="G77">
        <v>0</v>
      </c>
      <c r="H77">
        <f t="shared" si="3"/>
        <v>0</v>
      </c>
      <c r="I77">
        <f t="shared" si="4"/>
        <v>0</v>
      </c>
      <c r="J77">
        <f t="shared" si="5"/>
        <v>0</v>
      </c>
    </row>
    <row r="78" spans="1:10" x14ac:dyDescent="0.25">
      <c r="A78">
        <v>163</v>
      </c>
      <c r="B78" t="s">
        <v>169</v>
      </c>
      <c r="C78">
        <v>8</v>
      </c>
      <c r="D78">
        <v>6</v>
      </c>
      <c r="E78">
        <v>1</v>
      </c>
      <c r="F78">
        <v>5</v>
      </c>
      <c r="G78">
        <v>0</v>
      </c>
      <c r="H78">
        <f t="shared" si="3"/>
        <v>0</v>
      </c>
      <c r="I78">
        <f t="shared" si="4"/>
        <v>0</v>
      </c>
      <c r="J78">
        <f t="shared" si="5"/>
        <v>0</v>
      </c>
    </row>
    <row r="79" spans="1:10" x14ac:dyDescent="0.25">
      <c r="A79">
        <v>188</v>
      </c>
      <c r="B79" t="s">
        <v>194</v>
      </c>
      <c r="C79">
        <v>9</v>
      </c>
      <c r="D79">
        <v>6</v>
      </c>
      <c r="E79">
        <v>0</v>
      </c>
      <c r="F79">
        <v>6</v>
      </c>
      <c r="G79">
        <v>0</v>
      </c>
      <c r="H79">
        <f t="shared" si="3"/>
        <v>0</v>
      </c>
      <c r="I79" t="e">
        <f t="shared" si="4"/>
        <v>#DIV/0!</v>
      </c>
      <c r="J79">
        <f t="shared" si="5"/>
        <v>0</v>
      </c>
    </row>
    <row r="80" spans="1:10" x14ac:dyDescent="0.25">
      <c r="A80">
        <v>121</v>
      </c>
      <c r="B80" t="s">
        <v>127</v>
      </c>
      <c r="C80">
        <v>12</v>
      </c>
      <c r="D80">
        <v>6</v>
      </c>
      <c r="E80">
        <v>0</v>
      </c>
      <c r="F80">
        <v>6</v>
      </c>
      <c r="G80">
        <v>0</v>
      </c>
      <c r="H80">
        <f t="shared" si="3"/>
        <v>0</v>
      </c>
      <c r="I80" t="e">
        <f t="shared" si="4"/>
        <v>#DIV/0!</v>
      </c>
      <c r="J80">
        <f t="shared" si="5"/>
        <v>0</v>
      </c>
    </row>
    <row r="81" spans="1:10" x14ac:dyDescent="0.25">
      <c r="A81">
        <v>199</v>
      </c>
      <c r="B81" t="s">
        <v>205</v>
      </c>
      <c r="C81">
        <v>13</v>
      </c>
      <c r="D81">
        <v>6</v>
      </c>
      <c r="E81">
        <v>1</v>
      </c>
      <c r="F81">
        <v>5</v>
      </c>
      <c r="G81">
        <v>0</v>
      </c>
      <c r="H81">
        <f t="shared" si="3"/>
        <v>0</v>
      </c>
      <c r="I81">
        <f t="shared" si="4"/>
        <v>0</v>
      </c>
      <c r="J81">
        <f t="shared" si="5"/>
        <v>0</v>
      </c>
    </row>
    <row r="82" spans="1:10" x14ac:dyDescent="0.25">
      <c r="A82">
        <v>327</v>
      </c>
      <c r="B82" t="s">
        <v>333</v>
      </c>
      <c r="C82">
        <v>14</v>
      </c>
      <c r="D82">
        <v>6</v>
      </c>
      <c r="E82">
        <v>0</v>
      </c>
      <c r="F82">
        <v>6</v>
      </c>
      <c r="G82">
        <v>0</v>
      </c>
      <c r="H82">
        <f t="shared" si="3"/>
        <v>0</v>
      </c>
      <c r="I82" t="e">
        <f t="shared" si="4"/>
        <v>#DIV/0!</v>
      </c>
      <c r="J82">
        <f t="shared" si="5"/>
        <v>0</v>
      </c>
    </row>
    <row r="83" spans="1:10" x14ac:dyDescent="0.25">
      <c r="A83">
        <v>230</v>
      </c>
      <c r="B83" t="s">
        <v>236</v>
      </c>
      <c r="C83">
        <v>8</v>
      </c>
      <c r="D83">
        <v>7</v>
      </c>
      <c r="E83">
        <v>2</v>
      </c>
      <c r="F83">
        <v>5</v>
      </c>
      <c r="G83">
        <v>0</v>
      </c>
      <c r="H83">
        <f t="shared" si="3"/>
        <v>0</v>
      </c>
      <c r="I83">
        <f t="shared" si="4"/>
        <v>0</v>
      </c>
      <c r="J83">
        <f t="shared" si="5"/>
        <v>0</v>
      </c>
    </row>
    <row r="84" spans="1:10" x14ac:dyDescent="0.25">
      <c r="A84">
        <v>156</v>
      </c>
      <c r="B84" t="s">
        <v>162</v>
      </c>
      <c r="C84">
        <v>9</v>
      </c>
      <c r="D84">
        <v>7</v>
      </c>
      <c r="E84">
        <v>0</v>
      </c>
      <c r="F84">
        <v>7</v>
      </c>
      <c r="G84">
        <v>0</v>
      </c>
      <c r="H84">
        <f t="shared" si="3"/>
        <v>0</v>
      </c>
      <c r="I84" t="e">
        <f t="shared" si="4"/>
        <v>#DIV/0!</v>
      </c>
      <c r="J84">
        <f t="shared" si="5"/>
        <v>0</v>
      </c>
    </row>
    <row r="85" spans="1:10" x14ac:dyDescent="0.25">
      <c r="A85">
        <v>103</v>
      </c>
      <c r="B85" t="s">
        <v>109</v>
      </c>
      <c r="C85">
        <v>10</v>
      </c>
      <c r="D85">
        <v>7</v>
      </c>
      <c r="E85">
        <v>2</v>
      </c>
      <c r="F85">
        <v>5</v>
      </c>
      <c r="G85">
        <v>0</v>
      </c>
      <c r="H85">
        <f t="shared" si="3"/>
        <v>0</v>
      </c>
      <c r="I85">
        <f t="shared" si="4"/>
        <v>0</v>
      </c>
      <c r="J85">
        <f t="shared" si="5"/>
        <v>0</v>
      </c>
    </row>
    <row r="86" spans="1:10" x14ac:dyDescent="0.25">
      <c r="A86">
        <v>179</v>
      </c>
      <c r="B86" t="s">
        <v>185</v>
      </c>
      <c r="C86">
        <v>11</v>
      </c>
      <c r="D86">
        <v>7</v>
      </c>
      <c r="E86">
        <v>0</v>
      </c>
      <c r="F86">
        <v>7</v>
      </c>
      <c r="G86">
        <v>0</v>
      </c>
      <c r="H86">
        <f t="shared" si="3"/>
        <v>0</v>
      </c>
      <c r="I86" t="e">
        <f t="shared" si="4"/>
        <v>#DIV/0!</v>
      </c>
      <c r="J86">
        <f t="shared" si="5"/>
        <v>0</v>
      </c>
    </row>
    <row r="87" spans="1:10" x14ac:dyDescent="0.25">
      <c r="A87">
        <v>388</v>
      </c>
      <c r="B87" t="s">
        <v>394</v>
      </c>
      <c r="C87">
        <v>12</v>
      </c>
      <c r="D87">
        <v>7</v>
      </c>
      <c r="E87">
        <v>0</v>
      </c>
      <c r="F87">
        <v>7</v>
      </c>
      <c r="G87">
        <v>0</v>
      </c>
      <c r="H87">
        <f t="shared" si="3"/>
        <v>0</v>
      </c>
      <c r="I87" t="e">
        <f t="shared" si="4"/>
        <v>#DIV/0!</v>
      </c>
      <c r="J87">
        <f t="shared" si="5"/>
        <v>0</v>
      </c>
    </row>
    <row r="88" spans="1:10" x14ac:dyDescent="0.25">
      <c r="A88">
        <v>193</v>
      </c>
      <c r="B88" t="s">
        <v>199</v>
      </c>
      <c r="C88">
        <v>14</v>
      </c>
      <c r="D88">
        <v>7</v>
      </c>
      <c r="E88">
        <v>0</v>
      </c>
      <c r="F88">
        <v>7</v>
      </c>
      <c r="G88">
        <v>0</v>
      </c>
      <c r="H88">
        <f t="shared" si="3"/>
        <v>0</v>
      </c>
      <c r="I88" t="e">
        <f t="shared" si="4"/>
        <v>#DIV/0!</v>
      </c>
      <c r="J88">
        <f t="shared" si="5"/>
        <v>0</v>
      </c>
    </row>
    <row r="89" spans="1:10" x14ac:dyDescent="0.25">
      <c r="A89">
        <v>22</v>
      </c>
      <c r="B89" t="s">
        <v>28</v>
      </c>
      <c r="C89">
        <v>9</v>
      </c>
      <c r="D89">
        <v>8</v>
      </c>
      <c r="E89">
        <v>1</v>
      </c>
      <c r="F89">
        <v>7</v>
      </c>
      <c r="G89">
        <v>0</v>
      </c>
      <c r="H89">
        <f t="shared" si="3"/>
        <v>0</v>
      </c>
      <c r="I89">
        <f t="shared" si="4"/>
        <v>0</v>
      </c>
      <c r="J89">
        <f t="shared" si="5"/>
        <v>0</v>
      </c>
    </row>
    <row r="90" spans="1:10" x14ac:dyDescent="0.25">
      <c r="A90">
        <v>87</v>
      </c>
      <c r="B90" t="s">
        <v>93</v>
      </c>
      <c r="C90">
        <v>9</v>
      </c>
      <c r="D90">
        <v>8</v>
      </c>
      <c r="E90">
        <v>1</v>
      </c>
      <c r="F90">
        <v>7</v>
      </c>
      <c r="G90">
        <v>0</v>
      </c>
      <c r="H90">
        <f t="shared" si="3"/>
        <v>0</v>
      </c>
      <c r="I90">
        <f t="shared" si="4"/>
        <v>0</v>
      </c>
      <c r="J90">
        <f t="shared" si="5"/>
        <v>0</v>
      </c>
    </row>
    <row r="91" spans="1:10" x14ac:dyDescent="0.25">
      <c r="A91">
        <v>400</v>
      </c>
      <c r="B91" t="s">
        <v>406</v>
      </c>
      <c r="C91">
        <v>12</v>
      </c>
      <c r="D91">
        <v>8</v>
      </c>
      <c r="E91">
        <v>1</v>
      </c>
      <c r="F91">
        <v>7</v>
      </c>
      <c r="G91">
        <v>0</v>
      </c>
      <c r="H91">
        <f t="shared" si="3"/>
        <v>0</v>
      </c>
      <c r="I91">
        <f t="shared" si="4"/>
        <v>0</v>
      </c>
      <c r="J91">
        <f t="shared" si="5"/>
        <v>0</v>
      </c>
    </row>
    <row r="92" spans="1:10" x14ac:dyDescent="0.25">
      <c r="A92">
        <v>273</v>
      </c>
      <c r="B92" t="s">
        <v>279</v>
      </c>
      <c r="C92">
        <v>12</v>
      </c>
      <c r="D92">
        <v>9</v>
      </c>
      <c r="E92">
        <v>2</v>
      </c>
      <c r="F92">
        <v>7</v>
      </c>
      <c r="G92">
        <v>0</v>
      </c>
      <c r="H92">
        <f t="shared" si="3"/>
        <v>0</v>
      </c>
      <c r="I92">
        <f t="shared" si="4"/>
        <v>0</v>
      </c>
      <c r="J92">
        <f t="shared" si="5"/>
        <v>0</v>
      </c>
    </row>
    <row r="93" spans="1:10" x14ac:dyDescent="0.25">
      <c r="A93">
        <v>303</v>
      </c>
      <c r="B93" t="s">
        <v>309</v>
      </c>
      <c r="C93">
        <v>11</v>
      </c>
      <c r="D93">
        <v>10</v>
      </c>
      <c r="E93">
        <v>0</v>
      </c>
      <c r="F93">
        <v>10</v>
      </c>
      <c r="G93">
        <v>0</v>
      </c>
      <c r="H93">
        <f t="shared" si="3"/>
        <v>0</v>
      </c>
      <c r="I93" t="e">
        <f t="shared" si="4"/>
        <v>#DIV/0!</v>
      </c>
      <c r="J93">
        <f t="shared" si="5"/>
        <v>0</v>
      </c>
    </row>
    <row r="94" spans="1:10" x14ac:dyDescent="0.25">
      <c r="A94">
        <v>415</v>
      </c>
      <c r="B94" t="s">
        <v>421</v>
      </c>
      <c r="C94">
        <v>16</v>
      </c>
      <c r="D94">
        <v>11</v>
      </c>
      <c r="E94">
        <v>1</v>
      </c>
      <c r="F94">
        <v>10</v>
      </c>
      <c r="G94">
        <v>0</v>
      </c>
      <c r="H94">
        <f t="shared" si="3"/>
        <v>0</v>
      </c>
      <c r="I94">
        <f t="shared" si="4"/>
        <v>0</v>
      </c>
      <c r="J94">
        <f t="shared" si="5"/>
        <v>0</v>
      </c>
    </row>
    <row r="95" spans="1:10" x14ac:dyDescent="0.25">
      <c r="A95">
        <v>191</v>
      </c>
      <c r="B95" t="s">
        <v>197</v>
      </c>
      <c r="C95">
        <v>18</v>
      </c>
      <c r="D95">
        <v>14</v>
      </c>
      <c r="E95">
        <v>4</v>
      </c>
      <c r="F95">
        <v>10</v>
      </c>
      <c r="G95">
        <v>0</v>
      </c>
      <c r="H95">
        <f t="shared" si="3"/>
        <v>0</v>
      </c>
      <c r="I95">
        <f t="shared" si="4"/>
        <v>0</v>
      </c>
      <c r="J95">
        <f t="shared" si="5"/>
        <v>0</v>
      </c>
    </row>
    <row r="96" spans="1:10" x14ac:dyDescent="0.25">
      <c r="A96">
        <v>164</v>
      </c>
      <c r="B96" t="s">
        <v>170</v>
      </c>
      <c r="C96">
        <v>2</v>
      </c>
      <c r="D96">
        <v>1</v>
      </c>
      <c r="E96">
        <v>0</v>
      </c>
      <c r="F96">
        <v>1</v>
      </c>
      <c r="G96">
        <v>1</v>
      </c>
      <c r="H96">
        <f t="shared" si="3"/>
        <v>1</v>
      </c>
      <c r="I96" t="e">
        <f t="shared" si="4"/>
        <v>#DIV/0!</v>
      </c>
      <c r="J96">
        <f t="shared" si="5"/>
        <v>1</v>
      </c>
    </row>
    <row r="97" spans="1:10" x14ac:dyDescent="0.25">
      <c r="A97">
        <v>111</v>
      </c>
      <c r="B97" t="s">
        <v>117</v>
      </c>
      <c r="C97">
        <v>7</v>
      </c>
      <c r="D97">
        <v>1</v>
      </c>
      <c r="E97">
        <v>0</v>
      </c>
      <c r="F97">
        <v>1</v>
      </c>
      <c r="G97">
        <v>1</v>
      </c>
      <c r="H97">
        <f t="shared" si="3"/>
        <v>1</v>
      </c>
      <c r="I97" t="e">
        <f t="shared" si="4"/>
        <v>#DIV/0!</v>
      </c>
      <c r="J97">
        <f t="shared" si="5"/>
        <v>1</v>
      </c>
    </row>
    <row r="98" spans="1:10" x14ac:dyDescent="0.25">
      <c r="A98">
        <v>356</v>
      </c>
      <c r="B98" t="s">
        <v>362</v>
      </c>
      <c r="C98">
        <v>9</v>
      </c>
      <c r="D98">
        <v>1</v>
      </c>
      <c r="E98">
        <v>1</v>
      </c>
      <c r="F98">
        <v>0</v>
      </c>
      <c r="G98">
        <v>1</v>
      </c>
      <c r="H98">
        <f t="shared" si="3"/>
        <v>1</v>
      </c>
      <c r="I98">
        <f t="shared" si="4"/>
        <v>1</v>
      </c>
      <c r="J98" t="e">
        <f t="shared" si="5"/>
        <v>#DIV/0!</v>
      </c>
    </row>
    <row r="99" spans="1:10" x14ac:dyDescent="0.25">
      <c r="A99">
        <v>288</v>
      </c>
      <c r="B99" t="s">
        <v>294</v>
      </c>
      <c r="C99">
        <v>3</v>
      </c>
      <c r="D99">
        <v>2</v>
      </c>
      <c r="E99">
        <v>0</v>
      </c>
      <c r="F99">
        <v>2</v>
      </c>
      <c r="G99">
        <v>1</v>
      </c>
      <c r="H99">
        <f t="shared" si="3"/>
        <v>0.5</v>
      </c>
      <c r="I99" t="e">
        <f t="shared" si="4"/>
        <v>#DIV/0!</v>
      </c>
      <c r="J99">
        <f t="shared" si="5"/>
        <v>0.5</v>
      </c>
    </row>
    <row r="100" spans="1:10" x14ac:dyDescent="0.25">
      <c r="A100">
        <v>317</v>
      </c>
      <c r="B100" t="s">
        <v>323</v>
      </c>
      <c r="C100">
        <v>3</v>
      </c>
      <c r="D100">
        <v>2</v>
      </c>
      <c r="E100">
        <v>0</v>
      </c>
      <c r="F100">
        <v>2</v>
      </c>
      <c r="G100">
        <v>1</v>
      </c>
      <c r="H100">
        <f t="shared" si="3"/>
        <v>0.5</v>
      </c>
      <c r="I100" t="e">
        <f t="shared" si="4"/>
        <v>#DIV/0!</v>
      </c>
      <c r="J100">
        <f t="shared" si="5"/>
        <v>0.5</v>
      </c>
    </row>
    <row r="101" spans="1:10" x14ac:dyDescent="0.25">
      <c r="A101">
        <v>229</v>
      </c>
      <c r="B101" t="s">
        <v>235</v>
      </c>
      <c r="C101">
        <v>6</v>
      </c>
      <c r="D101">
        <v>3</v>
      </c>
      <c r="E101">
        <v>0</v>
      </c>
      <c r="F101">
        <v>3</v>
      </c>
      <c r="G101">
        <v>1</v>
      </c>
      <c r="H101">
        <f t="shared" si="3"/>
        <v>0.33333333333333331</v>
      </c>
      <c r="I101" t="e">
        <f t="shared" si="4"/>
        <v>#DIV/0!</v>
      </c>
      <c r="J101">
        <f t="shared" si="5"/>
        <v>0.33333333333333331</v>
      </c>
    </row>
    <row r="102" spans="1:10" x14ac:dyDescent="0.25">
      <c r="A102">
        <v>53</v>
      </c>
      <c r="B102" t="s">
        <v>59</v>
      </c>
      <c r="C102">
        <v>7</v>
      </c>
      <c r="D102">
        <v>3</v>
      </c>
      <c r="E102">
        <v>0</v>
      </c>
      <c r="F102">
        <v>3</v>
      </c>
      <c r="G102">
        <v>1</v>
      </c>
      <c r="H102">
        <f t="shared" si="3"/>
        <v>0.33333333333333331</v>
      </c>
      <c r="I102" t="e">
        <f t="shared" si="4"/>
        <v>#DIV/0!</v>
      </c>
      <c r="J102">
        <f t="shared" si="5"/>
        <v>0.33333333333333331</v>
      </c>
    </row>
    <row r="103" spans="1:10" x14ac:dyDescent="0.25">
      <c r="A103">
        <v>270</v>
      </c>
      <c r="B103" t="s">
        <v>276</v>
      </c>
      <c r="C103">
        <v>13</v>
      </c>
      <c r="D103">
        <v>3</v>
      </c>
      <c r="E103">
        <v>0</v>
      </c>
      <c r="F103">
        <v>3</v>
      </c>
      <c r="G103">
        <v>1</v>
      </c>
      <c r="H103">
        <f t="shared" si="3"/>
        <v>0.33333333333333331</v>
      </c>
      <c r="I103" t="e">
        <f t="shared" si="4"/>
        <v>#DIV/0!</v>
      </c>
      <c r="J103">
        <f t="shared" si="5"/>
        <v>0.33333333333333331</v>
      </c>
    </row>
    <row r="104" spans="1:10" x14ac:dyDescent="0.25">
      <c r="A104">
        <v>149</v>
      </c>
      <c r="B104" t="s">
        <v>155</v>
      </c>
      <c r="C104">
        <v>10</v>
      </c>
      <c r="D104">
        <v>4</v>
      </c>
      <c r="E104">
        <v>0</v>
      </c>
      <c r="F104">
        <v>4</v>
      </c>
      <c r="G104">
        <v>1</v>
      </c>
      <c r="H104">
        <f t="shared" si="3"/>
        <v>0.25</v>
      </c>
      <c r="I104" t="e">
        <f t="shared" si="4"/>
        <v>#DIV/0!</v>
      </c>
      <c r="J104">
        <f t="shared" si="5"/>
        <v>0.25</v>
      </c>
    </row>
    <row r="105" spans="1:10" x14ac:dyDescent="0.25">
      <c r="A105">
        <v>330</v>
      </c>
      <c r="B105" t="s">
        <v>336</v>
      </c>
      <c r="C105">
        <v>24</v>
      </c>
      <c r="D105">
        <v>10</v>
      </c>
      <c r="E105">
        <v>1</v>
      </c>
      <c r="F105">
        <v>9</v>
      </c>
      <c r="G105">
        <v>1</v>
      </c>
      <c r="H105">
        <f t="shared" si="3"/>
        <v>0.1</v>
      </c>
      <c r="I105">
        <f t="shared" si="4"/>
        <v>1</v>
      </c>
      <c r="J105">
        <f t="shared" si="5"/>
        <v>0.1111111111111111</v>
      </c>
    </row>
    <row r="106" spans="1:10" x14ac:dyDescent="0.25">
      <c r="A106">
        <v>37</v>
      </c>
      <c r="B106" t="s">
        <v>43</v>
      </c>
      <c r="C106">
        <v>5</v>
      </c>
      <c r="D106">
        <v>1</v>
      </c>
      <c r="E106">
        <v>1</v>
      </c>
      <c r="F106">
        <v>0</v>
      </c>
      <c r="G106">
        <v>2</v>
      </c>
      <c r="H106">
        <f t="shared" si="3"/>
        <v>2</v>
      </c>
      <c r="I106">
        <f t="shared" si="4"/>
        <v>2</v>
      </c>
      <c r="J106" t="e">
        <f t="shared" si="5"/>
        <v>#DIV/0!</v>
      </c>
    </row>
    <row r="107" spans="1:10" x14ac:dyDescent="0.25">
      <c r="A107">
        <v>112</v>
      </c>
      <c r="B107" t="s">
        <v>118</v>
      </c>
      <c r="C107">
        <v>5</v>
      </c>
      <c r="D107">
        <v>4</v>
      </c>
      <c r="E107">
        <v>0</v>
      </c>
      <c r="F107">
        <v>4</v>
      </c>
      <c r="G107">
        <v>2</v>
      </c>
      <c r="H107">
        <f t="shared" si="3"/>
        <v>0.5</v>
      </c>
      <c r="I107" t="e">
        <f t="shared" si="4"/>
        <v>#DIV/0!</v>
      </c>
      <c r="J107">
        <f t="shared" si="5"/>
        <v>0.5</v>
      </c>
    </row>
    <row r="108" spans="1:10" x14ac:dyDescent="0.25">
      <c r="A108">
        <v>389</v>
      </c>
      <c r="B108" t="s">
        <v>395</v>
      </c>
      <c r="C108">
        <v>7</v>
      </c>
      <c r="D108">
        <v>6</v>
      </c>
      <c r="E108">
        <v>0</v>
      </c>
      <c r="F108">
        <v>6</v>
      </c>
      <c r="G108">
        <v>2</v>
      </c>
      <c r="H108">
        <f t="shared" si="3"/>
        <v>0.33333333333333331</v>
      </c>
      <c r="I108" t="e">
        <f t="shared" si="4"/>
        <v>#DIV/0!</v>
      </c>
      <c r="J108">
        <f t="shared" si="5"/>
        <v>0.33333333333333331</v>
      </c>
    </row>
    <row r="109" spans="1:10" x14ac:dyDescent="0.25">
      <c r="A109">
        <v>118</v>
      </c>
      <c r="B109" t="s">
        <v>124</v>
      </c>
      <c r="C109">
        <v>9</v>
      </c>
      <c r="D109">
        <v>7</v>
      </c>
      <c r="E109">
        <v>1</v>
      </c>
      <c r="F109">
        <v>6</v>
      </c>
      <c r="G109">
        <v>2</v>
      </c>
      <c r="H109">
        <f t="shared" si="3"/>
        <v>0.2857142857142857</v>
      </c>
      <c r="I109">
        <f t="shared" si="4"/>
        <v>2</v>
      </c>
      <c r="J109">
        <f t="shared" si="5"/>
        <v>0.33333333333333331</v>
      </c>
    </row>
    <row r="110" spans="1:10" x14ac:dyDescent="0.25">
      <c r="A110">
        <v>416</v>
      </c>
      <c r="B110" t="s">
        <v>422</v>
      </c>
      <c r="C110">
        <v>24</v>
      </c>
      <c r="D110">
        <v>16</v>
      </c>
      <c r="E110">
        <v>2</v>
      </c>
      <c r="F110">
        <v>14</v>
      </c>
      <c r="G110">
        <v>2</v>
      </c>
      <c r="H110">
        <f t="shared" si="3"/>
        <v>0.125</v>
      </c>
      <c r="I110">
        <f t="shared" si="4"/>
        <v>1</v>
      </c>
      <c r="J110">
        <f t="shared" si="5"/>
        <v>0.14285714285714285</v>
      </c>
    </row>
    <row r="111" spans="1:10" x14ac:dyDescent="0.25">
      <c r="A111">
        <v>204</v>
      </c>
      <c r="B111" t="s">
        <v>210</v>
      </c>
      <c r="C111">
        <v>4</v>
      </c>
      <c r="D111">
        <v>1</v>
      </c>
      <c r="E111">
        <v>0</v>
      </c>
      <c r="F111">
        <v>1</v>
      </c>
      <c r="G111">
        <v>3</v>
      </c>
      <c r="H111">
        <f t="shared" si="3"/>
        <v>3</v>
      </c>
      <c r="I111" t="e">
        <f t="shared" si="4"/>
        <v>#DIV/0!</v>
      </c>
      <c r="J111">
        <f t="shared" si="5"/>
        <v>3</v>
      </c>
    </row>
    <row r="112" spans="1:10" x14ac:dyDescent="0.25">
      <c r="A112">
        <v>420</v>
      </c>
      <c r="B112" t="s">
        <v>426</v>
      </c>
      <c r="C112">
        <v>10</v>
      </c>
      <c r="D112">
        <v>2</v>
      </c>
      <c r="E112">
        <v>2</v>
      </c>
      <c r="F112">
        <v>0</v>
      </c>
      <c r="G112">
        <v>3</v>
      </c>
      <c r="H112">
        <f t="shared" si="3"/>
        <v>1.5</v>
      </c>
      <c r="I112">
        <f t="shared" si="4"/>
        <v>1.5</v>
      </c>
      <c r="J112" t="e">
        <f t="shared" si="5"/>
        <v>#DIV/0!</v>
      </c>
    </row>
    <row r="113" spans="1:10" x14ac:dyDescent="0.25">
      <c r="A113">
        <v>336</v>
      </c>
      <c r="B113" t="s">
        <v>342</v>
      </c>
      <c r="C113">
        <v>7</v>
      </c>
      <c r="D113">
        <v>3</v>
      </c>
      <c r="E113">
        <v>0</v>
      </c>
      <c r="F113">
        <v>3</v>
      </c>
      <c r="G113">
        <v>3</v>
      </c>
      <c r="H113">
        <f t="shared" si="3"/>
        <v>1</v>
      </c>
      <c r="I113" t="e">
        <f t="shared" si="4"/>
        <v>#DIV/0!</v>
      </c>
      <c r="J113">
        <f t="shared" si="5"/>
        <v>1</v>
      </c>
    </row>
    <row r="114" spans="1:10" x14ac:dyDescent="0.25">
      <c r="A114">
        <v>90</v>
      </c>
      <c r="B114" t="s">
        <v>96</v>
      </c>
      <c r="C114">
        <v>11</v>
      </c>
      <c r="D114">
        <v>5</v>
      </c>
      <c r="E114">
        <v>0</v>
      </c>
      <c r="F114">
        <v>5</v>
      </c>
      <c r="G114">
        <v>3</v>
      </c>
      <c r="H114">
        <f t="shared" si="3"/>
        <v>0.6</v>
      </c>
      <c r="I114" t="e">
        <f t="shared" si="4"/>
        <v>#DIV/0!</v>
      </c>
      <c r="J114">
        <f t="shared" si="5"/>
        <v>0.6</v>
      </c>
    </row>
    <row r="115" spans="1:10" x14ac:dyDescent="0.25">
      <c r="A115">
        <v>419</v>
      </c>
      <c r="B115" t="s">
        <v>425</v>
      </c>
      <c r="C115">
        <v>12</v>
      </c>
      <c r="D115">
        <v>7</v>
      </c>
      <c r="E115">
        <v>0</v>
      </c>
      <c r="F115">
        <v>7</v>
      </c>
      <c r="G115">
        <v>3</v>
      </c>
      <c r="H115">
        <f t="shared" si="3"/>
        <v>0.42857142857142855</v>
      </c>
      <c r="I115" t="e">
        <f t="shared" si="4"/>
        <v>#DIV/0!</v>
      </c>
      <c r="J115">
        <f t="shared" si="5"/>
        <v>0.42857142857142855</v>
      </c>
    </row>
    <row r="116" spans="1:10" x14ac:dyDescent="0.25">
      <c r="A116">
        <v>334</v>
      </c>
      <c r="B116" t="s">
        <v>340</v>
      </c>
      <c r="C116">
        <v>11</v>
      </c>
      <c r="D116">
        <v>8</v>
      </c>
      <c r="E116">
        <v>0</v>
      </c>
      <c r="F116">
        <v>8</v>
      </c>
      <c r="G116">
        <v>3</v>
      </c>
      <c r="H116">
        <f t="shared" si="3"/>
        <v>0.375</v>
      </c>
      <c r="I116" t="e">
        <f t="shared" si="4"/>
        <v>#DIV/0!</v>
      </c>
      <c r="J116">
        <f t="shared" si="5"/>
        <v>0.375</v>
      </c>
    </row>
    <row r="117" spans="1:10" x14ac:dyDescent="0.25">
      <c r="A117">
        <v>101</v>
      </c>
      <c r="B117" t="s">
        <v>107</v>
      </c>
      <c r="C117">
        <v>13</v>
      </c>
      <c r="D117">
        <v>10</v>
      </c>
      <c r="E117">
        <v>2</v>
      </c>
      <c r="F117">
        <v>8</v>
      </c>
      <c r="G117">
        <v>3</v>
      </c>
      <c r="H117">
        <f t="shared" si="3"/>
        <v>0.3</v>
      </c>
      <c r="I117">
        <f t="shared" si="4"/>
        <v>1.5</v>
      </c>
      <c r="J117">
        <f t="shared" si="5"/>
        <v>0.375</v>
      </c>
    </row>
    <row r="118" spans="1:10" x14ac:dyDescent="0.25">
      <c r="A118">
        <v>146</v>
      </c>
      <c r="B118" t="s">
        <v>152</v>
      </c>
      <c r="C118">
        <v>25</v>
      </c>
      <c r="D118">
        <v>14</v>
      </c>
      <c r="E118">
        <v>4</v>
      </c>
      <c r="F118">
        <v>10</v>
      </c>
      <c r="G118">
        <v>3</v>
      </c>
      <c r="H118">
        <f t="shared" si="3"/>
        <v>0.21428571428571427</v>
      </c>
      <c r="I118">
        <f t="shared" si="4"/>
        <v>0.75</v>
      </c>
      <c r="J118">
        <f t="shared" si="5"/>
        <v>0.3</v>
      </c>
    </row>
    <row r="119" spans="1:10" x14ac:dyDescent="0.25">
      <c r="A119">
        <v>76</v>
      </c>
      <c r="B119" t="s">
        <v>82</v>
      </c>
      <c r="C119">
        <v>18</v>
      </c>
      <c r="D119">
        <v>17</v>
      </c>
      <c r="E119">
        <v>4</v>
      </c>
      <c r="F119">
        <v>13</v>
      </c>
      <c r="G119">
        <v>3</v>
      </c>
      <c r="H119">
        <f t="shared" si="3"/>
        <v>0.17647058823529413</v>
      </c>
      <c r="I119">
        <f t="shared" si="4"/>
        <v>0.75</v>
      </c>
      <c r="J119">
        <f t="shared" si="5"/>
        <v>0.23076923076923078</v>
      </c>
    </row>
    <row r="120" spans="1:10" x14ac:dyDescent="0.25">
      <c r="A120">
        <v>343</v>
      </c>
      <c r="B120" t="s">
        <v>349</v>
      </c>
      <c r="C120">
        <v>2</v>
      </c>
      <c r="D120">
        <v>1</v>
      </c>
      <c r="E120">
        <v>0</v>
      </c>
      <c r="F120">
        <v>1</v>
      </c>
      <c r="G120">
        <v>4</v>
      </c>
      <c r="H120">
        <f t="shared" si="3"/>
        <v>4</v>
      </c>
      <c r="I120" t="e">
        <f t="shared" si="4"/>
        <v>#DIV/0!</v>
      </c>
      <c r="J120">
        <f t="shared" si="5"/>
        <v>4</v>
      </c>
    </row>
    <row r="121" spans="1:10" x14ac:dyDescent="0.25">
      <c r="A121">
        <v>69</v>
      </c>
      <c r="B121" t="s">
        <v>75</v>
      </c>
      <c r="C121">
        <v>8</v>
      </c>
      <c r="D121">
        <v>3</v>
      </c>
      <c r="E121">
        <v>0</v>
      </c>
      <c r="F121">
        <v>3</v>
      </c>
      <c r="G121">
        <v>4</v>
      </c>
      <c r="H121">
        <f t="shared" si="3"/>
        <v>1.3333333333333333</v>
      </c>
      <c r="I121" t="e">
        <f t="shared" si="4"/>
        <v>#DIV/0!</v>
      </c>
      <c r="J121">
        <f t="shared" si="5"/>
        <v>1.3333333333333333</v>
      </c>
    </row>
    <row r="122" spans="1:10" x14ac:dyDescent="0.25">
      <c r="A122">
        <v>335</v>
      </c>
      <c r="B122" t="s">
        <v>341</v>
      </c>
      <c r="C122">
        <v>11</v>
      </c>
      <c r="D122">
        <v>5</v>
      </c>
      <c r="E122">
        <v>0</v>
      </c>
      <c r="F122">
        <v>5</v>
      </c>
      <c r="G122">
        <v>4</v>
      </c>
      <c r="H122">
        <f t="shared" si="3"/>
        <v>0.8</v>
      </c>
      <c r="I122" t="e">
        <f t="shared" si="4"/>
        <v>#DIV/0!</v>
      </c>
      <c r="J122">
        <f t="shared" si="5"/>
        <v>0.8</v>
      </c>
    </row>
    <row r="123" spans="1:10" x14ac:dyDescent="0.25">
      <c r="A123">
        <v>267</v>
      </c>
      <c r="B123" t="s">
        <v>273</v>
      </c>
      <c r="C123">
        <v>14</v>
      </c>
      <c r="D123">
        <v>6</v>
      </c>
      <c r="E123">
        <v>1</v>
      </c>
      <c r="F123">
        <v>5</v>
      </c>
      <c r="G123">
        <v>4</v>
      </c>
      <c r="H123">
        <f t="shared" si="3"/>
        <v>0.66666666666666663</v>
      </c>
      <c r="I123">
        <f t="shared" si="4"/>
        <v>4</v>
      </c>
      <c r="J123">
        <f t="shared" si="5"/>
        <v>0.8</v>
      </c>
    </row>
    <row r="124" spans="1:10" x14ac:dyDescent="0.25">
      <c r="A124">
        <v>361</v>
      </c>
      <c r="B124" t="s">
        <v>367</v>
      </c>
      <c r="C124">
        <v>6</v>
      </c>
      <c r="D124">
        <v>1</v>
      </c>
      <c r="E124">
        <v>0</v>
      </c>
      <c r="F124">
        <v>1</v>
      </c>
      <c r="G124">
        <v>5</v>
      </c>
      <c r="H124">
        <f t="shared" si="3"/>
        <v>5</v>
      </c>
      <c r="I124" t="e">
        <f t="shared" si="4"/>
        <v>#DIV/0!</v>
      </c>
      <c r="J124">
        <f t="shared" si="5"/>
        <v>5</v>
      </c>
    </row>
    <row r="125" spans="1:10" x14ac:dyDescent="0.25">
      <c r="A125">
        <v>323</v>
      </c>
      <c r="B125" t="s">
        <v>329</v>
      </c>
      <c r="C125">
        <v>3</v>
      </c>
      <c r="D125">
        <v>2</v>
      </c>
      <c r="E125">
        <v>0</v>
      </c>
      <c r="F125">
        <v>2</v>
      </c>
      <c r="G125">
        <v>5</v>
      </c>
      <c r="H125">
        <f t="shared" si="3"/>
        <v>2.5</v>
      </c>
      <c r="I125" t="e">
        <f t="shared" si="4"/>
        <v>#DIV/0!</v>
      </c>
      <c r="J125">
        <f t="shared" si="5"/>
        <v>2.5</v>
      </c>
    </row>
    <row r="126" spans="1:10" x14ac:dyDescent="0.25">
      <c r="A126">
        <v>198</v>
      </c>
      <c r="B126" t="s">
        <v>204</v>
      </c>
      <c r="C126">
        <v>8</v>
      </c>
      <c r="D126">
        <v>2</v>
      </c>
      <c r="E126">
        <v>1</v>
      </c>
      <c r="F126">
        <v>1</v>
      </c>
      <c r="G126">
        <v>5</v>
      </c>
      <c r="H126">
        <f t="shared" si="3"/>
        <v>2.5</v>
      </c>
      <c r="I126">
        <f t="shared" si="4"/>
        <v>5</v>
      </c>
      <c r="J126">
        <f t="shared" si="5"/>
        <v>5</v>
      </c>
    </row>
    <row r="127" spans="1:10" x14ac:dyDescent="0.25">
      <c r="A127">
        <v>379</v>
      </c>
      <c r="B127" t="s">
        <v>385</v>
      </c>
      <c r="C127">
        <v>9</v>
      </c>
      <c r="D127">
        <v>3</v>
      </c>
      <c r="E127">
        <v>1</v>
      </c>
      <c r="F127">
        <v>2</v>
      </c>
      <c r="G127">
        <v>5</v>
      </c>
      <c r="H127">
        <f t="shared" si="3"/>
        <v>1.6666666666666667</v>
      </c>
      <c r="I127">
        <f t="shared" si="4"/>
        <v>5</v>
      </c>
      <c r="J127">
        <f t="shared" si="5"/>
        <v>2.5</v>
      </c>
    </row>
    <row r="128" spans="1:10" x14ac:dyDescent="0.25">
      <c r="A128">
        <v>8</v>
      </c>
      <c r="B128" t="s">
        <v>14</v>
      </c>
      <c r="C128">
        <v>9</v>
      </c>
      <c r="D128">
        <v>3</v>
      </c>
      <c r="E128">
        <v>0</v>
      </c>
      <c r="F128">
        <v>3</v>
      </c>
      <c r="G128">
        <v>5</v>
      </c>
      <c r="H128">
        <f t="shared" si="3"/>
        <v>1.6666666666666667</v>
      </c>
      <c r="I128" t="e">
        <f t="shared" si="4"/>
        <v>#DIV/0!</v>
      </c>
      <c r="J128">
        <f t="shared" si="5"/>
        <v>1.6666666666666667</v>
      </c>
    </row>
    <row r="129" spans="1:10" x14ac:dyDescent="0.25">
      <c r="A129">
        <v>325</v>
      </c>
      <c r="B129" t="s">
        <v>331</v>
      </c>
      <c r="C129">
        <v>13</v>
      </c>
      <c r="D129">
        <v>3</v>
      </c>
      <c r="E129">
        <v>0</v>
      </c>
      <c r="F129">
        <v>3</v>
      </c>
      <c r="G129">
        <v>5</v>
      </c>
      <c r="H129">
        <f t="shared" si="3"/>
        <v>1.6666666666666667</v>
      </c>
      <c r="I129" t="e">
        <f t="shared" si="4"/>
        <v>#DIV/0!</v>
      </c>
      <c r="J129">
        <f t="shared" si="5"/>
        <v>1.6666666666666667</v>
      </c>
    </row>
    <row r="130" spans="1:10" x14ac:dyDescent="0.25">
      <c r="A130">
        <v>408</v>
      </c>
      <c r="B130" t="s">
        <v>414</v>
      </c>
      <c r="C130">
        <v>6</v>
      </c>
      <c r="D130">
        <v>4</v>
      </c>
      <c r="E130">
        <v>0</v>
      </c>
      <c r="F130">
        <v>4</v>
      </c>
      <c r="G130">
        <v>5</v>
      </c>
      <c r="H130">
        <f t="shared" ref="H130:H193" si="6">G130/D130</f>
        <v>1.25</v>
      </c>
      <c r="I130" t="e">
        <f t="shared" ref="I130:I193" si="7">G130/E130</f>
        <v>#DIV/0!</v>
      </c>
      <c r="J130">
        <f t="shared" ref="J130:J193" si="8">G130/F130</f>
        <v>1.25</v>
      </c>
    </row>
    <row r="131" spans="1:10" x14ac:dyDescent="0.25">
      <c r="A131">
        <v>411</v>
      </c>
      <c r="B131" t="s">
        <v>417</v>
      </c>
      <c r="C131">
        <v>13</v>
      </c>
      <c r="D131">
        <v>4</v>
      </c>
      <c r="E131">
        <v>0</v>
      </c>
      <c r="F131">
        <v>4</v>
      </c>
      <c r="G131">
        <v>5</v>
      </c>
      <c r="H131">
        <f t="shared" si="6"/>
        <v>1.25</v>
      </c>
      <c r="I131" t="e">
        <f t="shared" si="7"/>
        <v>#DIV/0!</v>
      </c>
      <c r="J131">
        <f t="shared" si="8"/>
        <v>1.25</v>
      </c>
    </row>
    <row r="132" spans="1:10" x14ac:dyDescent="0.25">
      <c r="A132">
        <v>51</v>
      </c>
      <c r="B132" t="s">
        <v>57</v>
      </c>
      <c r="C132">
        <v>7</v>
      </c>
      <c r="D132">
        <v>3</v>
      </c>
      <c r="E132">
        <v>1</v>
      </c>
      <c r="F132">
        <v>2</v>
      </c>
      <c r="G132">
        <v>6</v>
      </c>
      <c r="H132">
        <f t="shared" si="6"/>
        <v>2</v>
      </c>
      <c r="I132">
        <f t="shared" si="7"/>
        <v>6</v>
      </c>
      <c r="J132">
        <f t="shared" si="8"/>
        <v>3</v>
      </c>
    </row>
    <row r="133" spans="1:10" x14ac:dyDescent="0.25">
      <c r="A133">
        <v>421</v>
      </c>
      <c r="B133" t="s">
        <v>427</v>
      </c>
      <c r="C133">
        <v>6</v>
      </c>
      <c r="D133">
        <v>5</v>
      </c>
      <c r="E133">
        <v>0</v>
      </c>
      <c r="F133">
        <v>5</v>
      </c>
      <c r="G133">
        <v>6</v>
      </c>
      <c r="H133">
        <f t="shared" si="6"/>
        <v>1.2</v>
      </c>
      <c r="I133" t="e">
        <f t="shared" si="7"/>
        <v>#DIV/0!</v>
      </c>
      <c r="J133">
        <f t="shared" si="8"/>
        <v>1.2</v>
      </c>
    </row>
    <row r="134" spans="1:10" x14ac:dyDescent="0.25">
      <c r="A134">
        <v>413</v>
      </c>
      <c r="B134" t="s">
        <v>419</v>
      </c>
      <c r="C134">
        <v>18</v>
      </c>
      <c r="D134">
        <v>6</v>
      </c>
      <c r="E134">
        <v>1</v>
      </c>
      <c r="F134">
        <v>5</v>
      </c>
      <c r="G134">
        <v>6</v>
      </c>
      <c r="H134">
        <f t="shared" si="6"/>
        <v>1</v>
      </c>
      <c r="I134">
        <f t="shared" si="7"/>
        <v>6</v>
      </c>
      <c r="J134">
        <f t="shared" si="8"/>
        <v>1.2</v>
      </c>
    </row>
    <row r="135" spans="1:10" x14ac:dyDescent="0.25">
      <c r="A135">
        <v>406</v>
      </c>
      <c r="B135" t="s">
        <v>412</v>
      </c>
      <c r="C135">
        <v>5</v>
      </c>
      <c r="D135">
        <v>2</v>
      </c>
      <c r="E135">
        <v>1</v>
      </c>
      <c r="F135">
        <v>1</v>
      </c>
      <c r="G135">
        <v>7</v>
      </c>
      <c r="H135">
        <f t="shared" si="6"/>
        <v>3.5</v>
      </c>
      <c r="I135">
        <f t="shared" si="7"/>
        <v>7</v>
      </c>
      <c r="J135">
        <f t="shared" si="8"/>
        <v>7</v>
      </c>
    </row>
    <row r="136" spans="1:10" x14ac:dyDescent="0.25">
      <c r="A136">
        <v>315</v>
      </c>
      <c r="B136" t="s">
        <v>321</v>
      </c>
      <c r="C136">
        <v>6</v>
      </c>
      <c r="D136">
        <v>5</v>
      </c>
      <c r="E136">
        <v>0</v>
      </c>
      <c r="F136">
        <v>5</v>
      </c>
      <c r="G136">
        <v>7</v>
      </c>
      <c r="H136">
        <f t="shared" si="6"/>
        <v>1.4</v>
      </c>
      <c r="I136" t="e">
        <f t="shared" si="7"/>
        <v>#DIV/0!</v>
      </c>
      <c r="J136">
        <f t="shared" si="8"/>
        <v>1.4</v>
      </c>
    </row>
    <row r="137" spans="1:10" x14ac:dyDescent="0.25">
      <c r="A137">
        <v>381</v>
      </c>
      <c r="B137" t="s">
        <v>387</v>
      </c>
      <c r="C137">
        <v>17</v>
      </c>
      <c r="D137">
        <v>9</v>
      </c>
      <c r="E137">
        <v>2</v>
      </c>
      <c r="F137">
        <v>7</v>
      </c>
      <c r="G137">
        <v>7</v>
      </c>
      <c r="H137">
        <f t="shared" si="6"/>
        <v>0.77777777777777779</v>
      </c>
      <c r="I137">
        <f t="shared" si="7"/>
        <v>3.5</v>
      </c>
      <c r="J137">
        <f t="shared" si="8"/>
        <v>1</v>
      </c>
    </row>
    <row r="138" spans="1:10" x14ac:dyDescent="0.25">
      <c r="A138">
        <v>214</v>
      </c>
      <c r="B138" t="s">
        <v>220</v>
      </c>
      <c r="C138">
        <v>8</v>
      </c>
      <c r="D138">
        <v>1</v>
      </c>
      <c r="E138">
        <v>0</v>
      </c>
      <c r="F138">
        <v>1</v>
      </c>
      <c r="G138">
        <v>8</v>
      </c>
      <c r="H138">
        <f t="shared" si="6"/>
        <v>8</v>
      </c>
      <c r="I138" t="e">
        <f t="shared" si="7"/>
        <v>#DIV/0!</v>
      </c>
      <c r="J138">
        <f t="shared" si="8"/>
        <v>8</v>
      </c>
    </row>
    <row r="139" spans="1:10" x14ac:dyDescent="0.25">
      <c r="A139">
        <v>386</v>
      </c>
      <c r="B139" t="s">
        <v>392</v>
      </c>
      <c r="C139">
        <v>10</v>
      </c>
      <c r="D139">
        <v>5</v>
      </c>
      <c r="E139">
        <v>0</v>
      </c>
      <c r="F139">
        <v>5</v>
      </c>
      <c r="G139">
        <v>8</v>
      </c>
      <c r="H139">
        <f t="shared" si="6"/>
        <v>1.6</v>
      </c>
      <c r="I139" t="e">
        <f t="shared" si="7"/>
        <v>#DIV/0!</v>
      </c>
      <c r="J139">
        <f t="shared" si="8"/>
        <v>1.6</v>
      </c>
    </row>
    <row r="140" spans="1:10" x14ac:dyDescent="0.25">
      <c r="A140">
        <v>92</v>
      </c>
      <c r="B140" t="s">
        <v>98</v>
      </c>
      <c r="C140">
        <v>4</v>
      </c>
      <c r="D140">
        <v>1</v>
      </c>
      <c r="E140">
        <v>0</v>
      </c>
      <c r="F140">
        <v>1</v>
      </c>
      <c r="G140">
        <v>9</v>
      </c>
      <c r="H140">
        <f t="shared" si="6"/>
        <v>9</v>
      </c>
      <c r="I140" t="e">
        <f t="shared" si="7"/>
        <v>#DIV/0!</v>
      </c>
      <c r="J140">
        <f t="shared" si="8"/>
        <v>9</v>
      </c>
    </row>
    <row r="141" spans="1:10" x14ac:dyDescent="0.25">
      <c r="A141">
        <v>81</v>
      </c>
      <c r="B141" t="s">
        <v>87</v>
      </c>
      <c r="C141">
        <v>8</v>
      </c>
      <c r="D141">
        <v>7</v>
      </c>
      <c r="E141">
        <v>4</v>
      </c>
      <c r="F141">
        <v>3</v>
      </c>
      <c r="G141">
        <v>9</v>
      </c>
      <c r="H141">
        <f t="shared" si="6"/>
        <v>1.2857142857142858</v>
      </c>
      <c r="I141">
        <f t="shared" si="7"/>
        <v>2.25</v>
      </c>
      <c r="J141">
        <f t="shared" si="8"/>
        <v>3</v>
      </c>
    </row>
    <row r="142" spans="1:10" x14ac:dyDescent="0.25">
      <c r="A142">
        <v>390</v>
      </c>
      <c r="B142" t="s">
        <v>396</v>
      </c>
      <c r="C142">
        <v>2</v>
      </c>
      <c r="D142">
        <v>1</v>
      </c>
      <c r="E142">
        <v>0</v>
      </c>
      <c r="F142">
        <v>1</v>
      </c>
      <c r="G142">
        <v>10</v>
      </c>
      <c r="H142">
        <f t="shared" si="6"/>
        <v>10</v>
      </c>
      <c r="I142" t="e">
        <f t="shared" si="7"/>
        <v>#DIV/0!</v>
      </c>
      <c r="J142">
        <f t="shared" si="8"/>
        <v>10</v>
      </c>
    </row>
    <row r="143" spans="1:10" x14ac:dyDescent="0.25">
      <c r="A143">
        <v>360</v>
      </c>
      <c r="B143" t="s">
        <v>366</v>
      </c>
      <c r="C143">
        <v>12</v>
      </c>
      <c r="D143">
        <v>10</v>
      </c>
      <c r="E143">
        <v>2</v>
      </c>
      <c r="F143">
        <v>8</v>
      </c>
      <c r="G143">
        <v>10</v>
      </c>
      <c r="H143">
        <f t="shared" si="6"/>
        <v>1</v>
      </c>
      <c r="I143">
        <f t="shared" si="7"/>
        <v>5</v>
      </c>
      <c r="J143">
        <f t="shared" si="8"/>
        <v>1.25</v>
      </c>
    </row>
    <row r="144" spans="1:10" x14ac:dyDescent="0.25">
      <c r="A144">
        <v>363</v>
      </c>
      <c r="B144" t="s">
        <v>369</v>
      </c>
      <c r="C144">
        <v>2</v>
      </c>
      <c r="D144">
        <v>1</v>
      </c>
      <c r="E144">
        <v>0</v>
      </c>
      <c r="F144">
        <v>1</v>
      </c>
      <c r="G144">
        <v>15</v>
      </c>
      <c r="H144">
        <f t="shared" si="6"/>
        <v>15</v>
      </c>
      <c r="I144" t="e">
        <f t="shared" si="7"/>
        <v>#DIV/0!</v>
      </c>
      <c r="J144">
        <f t="shared" si="8"/>
        <v>15</v>
      </c>
    </row>
    <row r="145" spans="1:10" x14ac:dyDescent="0.25">
      <c r="A145">
        <v>93</v>
      </c>
      <c r="B145" t="s">
        <v>99</v>
      </c>
      <c r="C145">
        <v>8</v>
      </c>
      <c r="D145">
        <v>4</v>
      </c>
      <c r="E145">
        <v>0</v>
      </c>
      <c r="F145">
        <v>4</v>
      </c>
      <c r="G145">
        <v>18</v>
      </c>
      <c r="H145">
        <f t="shared" si="6"/>
        <v>4.5</v>
      </c>
      <c r="I145" t="e">
        <f t="shared" si="7"/>
        <v>#DIV/0!</v>
      </c>
      <c r="J145">
        <f t="shared" si="8"/>
        <v>4.5</v>
      </c>
    </row>
    <row r="146" spans="1:10" x14ac:dyDescent="0.25">
      <c r="A146">
        <v>254</v>
      </c>
      <c r="B146" t="s">
        <v>260</v>
      </c>
      <c r="C146">
        <v>8</v>
      </c>
      <c r="D146">
        <v>5</v>
      </c>
      <c r="E146">
        <v>0</v>
      </c>
      <c r="F146">
        <v>5</v>
      </c>
      <c r="G146">
        <v>18</v>
      </c>
      <c r="H146">
        <f t="shared" si="6"/>
        <v>3.6</v>
      </c>
      <c r="I146" t="e">
        <f t="shared" si="7"/>
        <v>#DIV/0!</v>
      </c>
      <c r="J146">
        <f t="shared" si="8"/>
        <v>3.6</v>
      </c>
    </row>
    <row r="147" spans="1:10" x14ac:dyDescent="0.25">
      <c r="A147">
        <v>382</v>
      </c>
      <c r="B147" t="s">
        <v>388</v>
      </c>
      <c r="C147">
        <v>7</v>
      </c>
      <c r="D147">
        <v>6</v>
      </c>
      <c r="E147">
        <v>0</v>
      </c>
      <c r="F147">
        <v>6</v>
      </c>
      <c r="G147">
        <v>29</v>
      </c>
      <c r="H147">
        <f t="shared" si="6"/>
        <v>4.833333333333333</v>
      </c>
      <c r="I147" t="e">
        <f t="shared" si="7"/>
        <v>#DIV/0!</v>
      </c>
      <c r="J147">
        <f t="shared" si="8"/>
        <v>4.833333333333333</v>
      </c>
    </row>
    <row r="148" spans="1:10" x14ac:dyDescent="0.25">
      <c r="A148">
        <v>57</v>
      </c>
      <c r="B148" t="s">
        <v>63</v>
      </c>
      <c r="C148">
        <v>42</v>
      </c>
      <c r="D148">
        <v>15</v>
      </c>
      <c r="E148">
        <v>2</v>
      </c>
      <c r="F148">
        <v>13</v>
      </c>
      <c r="G148">
        <v>32</v>
      </c>
      <c r="H148">
        <f t="shared" si="6"/>
        <v>2.1333333333333333</v>
      </c>
      <c r="I148">
        <f t="shared" si="7"/>
        <v>16</v>
      </c>
      <c r="J148">
        <f t="shared" si="8"/>
        <v>2.4615384615384617</v>
      </c>
    </row>
    <row r="149" spans="1:10" x14ac:dyDescent="0.25">
      <c r="A149">
        <v>77</v>
      </c>
      <c r="B149" t="s">
        <v>83</v>
      </c>
      <c r="C149">
        <v>7</v>
      </c>
      <c r="D149">
        <v>5</v>
      </c>
      <c r="E149">
        <v>1</v>
      </c>
      <c r="F149">
        <v>4</v>
      </c>
      <c r="G149">
        <v>37</v>
      </c>
      <c r="H149">
        <f t="shared" si="6"/>
        <v>7.4</v>
      </c>
      <c r="I149">
        <f t="shared" si="7"/>
        <v>37</v>
      </c>
      <c r="J149">
        <f t="shared" si="8"/>
        <v>9.25</v>
      </c>
    </row>
    <row r="150" spans="1:10" x14ac:dyDescent="0.25">
      <c r="A150">
        <v>392</v>
      </c>
      <c r="B150" t="s">
        <v>398</v>
      </c>
      <c r="C150">
        <v>9</v>
      </c>
      <c r="D150">
        <v>1</v>
      </c>
      <c r="E150">
        <v>0</v>
      </c>
      <c r="F150">
        <v>1</v>
      </c>
      <c r="G150">
        <v>54</v>
      </c>
      <c r="H150">
        <f t="shared" si="6"/>
        <v>54</v>
      </c>
      <c r="I150" t="e">
        <f t="shared" si="7"/>
        <v>#DIV/0!</v>
      </c>
      <c r="J150">
        <f t="shared" si="8"/>
        <v>54</v>
      </c>
    </row>
    <row r="151" spans="1:10" x14ac:dyDescent="0.25">
      <c r="A151">
        <v>418</v>
      </c>
      <c r="B151" t="s">
        <v>424</v>
      </c>
      <c r="C151">
        <v>2</v>
      </c>
      <c r="D151">
        <v>1</v>
      </c>
      <c r="E151">
        <v>1</v>
      </c>
      <c r="F151">
        <v>0</v>
      </c>
      <c r="G151">
        <v>79</v>
      </c>
      <c r="H151">
        <f t="shared" si="6"/>
        <v>79</v>
      </c>
      <c r="I151">
        <f t="shared" si="7"/>
        <v>79</v>
      </c>
      <c r="J151" t="e">
        <f t="shared" si="8"/>
        <v>#DIV/0!</v>
      </c>
    </row>
    <row r="152" spans="1:10" x14ac:dyDescent="0.25">
      <c r="A152">
        <v>397</v>
      </c>
      <c r="B152" t="s">
        <v>403</v>
      </c>
      <c r="C152">
        <v>7</v>
      </c>
      <c r="D152">
        <v>3</v>
      </c>
      <c r="E152">
        <v>0</v>
      </c>
      <c r="F152">
        <v>3</v>
      </c>
      <c r="G152">
        <v>79</v>
      </c>
      <c r="H152">
        <f t="shared" si="6"/>
        <v>26.333333333333332</v>
      </c>
      <c r="I152" t="e">
        <f t="shared" si="7"/>
        <v>#DIV/0!</v>
      </c>
      <c r="J152">
        <f t="shared" si="8"/>
        <v>26.333333333333332</v>
      </c>
    </row>
    <row r="153" spans="1:10" x14ac:dyDescent="0.25">
      <c r="A153">
        <v>348</v>
      </c>
      <c r="B153" t="s">
        <v>354</v>
      </c>
      <c r="C153">
        <v>8</v>
      </c>
      <c r="D153">
        <v>5</v>
      </c>
      <c r="E153">
        <v>0</v>
      </c>
      <c r="F153">
        <v>5</v>
      </c>
      <c r="G153">
        <v>133</v>
      </c>
      <c r="H153">
        <f t="shared" si="6"/>
        <v>26.6</v>
      </c>
      <c r="I153" t="e">
        <f t="shared" si="7"/>
        <v>#DIV/0!</v>
      </c>
      <c r="J153">
        <f t="shared" si="8"/>
        <v>26.6</v>
      </c>
    </row>
    <row r="154" spans="1:10" x14ac:dyDescent="0.25">
      <c r="A154">
        <v>374</v>
      </c>
      <c r="B154" t="s">
        <v>380</v>
      </c>
      <c r="C154">
        <v>12</v>
      </c>
      <c r="D154">
        <v>7</v>
      </c>
      <c r="E154">
        <v>1</v>
      </c>
      <c r="F154">
        <v>6</v>
      </c>
      <c r="G154">
        <v>163</v>
      </c>
      <c r="H154">
        <f t="shared" si="6"/>
        <v>23.285714285714285</v>
      </c>
      <c r="I154">
        <f t="shared" si="7"/>
        <v>163</v>
      </c>
      <c r="J154">
        <f t="shared" si="8"/>
        <v>27.166666666666668</v>
      </c>
    </row>
    <row r="155" spans="1:10" x14ac:dyDescent="0.25">
      <c r="A155">
        <v>226</v>
      </c>
      <c r="B155" t="s">
        <v>232</v>
      </c>
      <c r="C155">
        <v>5</v>
      </c>
      <c r="D155">
        <v>4</v>
      </c>
      <c r="E155">
        <v>3</v>
      </c>
      <c r="F155">
        <v>1</v>
      </c>
      <c r="G155">
        <v>167</v>
      </c>
      <c r="H155">
        <f t="shared" si="6"/>
        <v>41.75</v>
      </c>
      <c r="I155">
        <f t="shared" si="7"/>
        <v>55.666666666666664</v>
      </c>
      <c r="J155">
        <f t="shared" si="8"/>
        <v>167</v>
      </c>
    </row>
    <row r="156" spans="1:10" x14ac:dyDescent="0.25">
      <c r="A156">
        <v>309</v>
      </c>
      <c r="B156" t="s">
        <v>315</v>
      </c>
      <c r="C156">
        <v>17</v>
      </c>
      <c r="D156">
        <v>10</v>
      </c>
      <c r="E156">
        <v>3</v>
      </c>
      <c r="F156">
        <v>7</v>
      </c>
      <c r="G156">
        <v>211</v>
      </c>
      <c r="H156">
        <f t="shared" si="6"/>
        <v>21.1</v>
      </c>
      <c r="I156">
        <f t="shared" si="7"/>
        <v>70.333333333333329</v>
      </c>
      <c r="J156">
        <f t="shared" si="8"/>
        <v>30.142857142857142</v>
      </c>
    </row>
    <row r="157" spans="1:10" x14ac:dyDescent="0.25">
      <c r="A157">
        <v>308</v>
      </c>
      <c r="B157" t="s">
        <v>314</v>
      </c>
      <c r="C157">
        <v>5</v>
      </c>
      <c r="D157">
        <v>1</v>
      </c>
      <c r="E157">
        <v>1</v>
      </c>
      <c r="F157">
        <v>0</v>
      </c>
      <c r="G157">
        <v>227</v>
      </c>
      <c r="H157">
        <f t="shared" si="6"/>
        <v>227</v>
      </c>
      <c r="I157">
        <f t="shared" si="7"/>
        <v>227</v>
      </c>
      <c r="J157" t="e">
        <f t="shared" si="8"/>
        <v>#DIV/0!</v>
      </c>
    </row>
    <row r="158" spans="1:10" x14ac:dyDescent="0.25">
      <c r="A158">
        <v>200</v>
      </c>
      <c r="B158" t="s">
        <v>206</v>
      </c>
      <c r="C158">
        <v>10</v>
      </c>
      <c r="D158">
        <v>5</v>
      </c>
      <c r="E158">
        <v>1</v>
      </c>
      <c r="F158">
        <v>4</v>
      </c>
      <c r="G158">
        <v>237</v>
      </c>
      <c r="H158">
        <f t="shared" si="6"/>
        <v>47.4</v>
      </c>
      <c r="I158">
        <f t="shared" si="7"/>
        <v>237</v>
      </c>
      <c r="J158">
        <f t="shared" si="8"/>
        <v>59.25</v>
      </c>
    </row>
    <row r="159" spans="1:10" x14ac:dyDescent="0.25">
      <c r="A159">
        <v>29</v>
      </c>
      <c r="B159" t="s">
        <v>35</v>
      </c>
      <c r="C159">
        <v>13</v>
      </c>
      <c r="D159">
        <v>5</v>
      </c>
      <c r="E159">
        <v>1</v>
      </c>
      <c r="F159">
        <v>4</v>
      </c>
      <c r="G159">
        <v>241</v>
      </c>
      <c r="H159">
        <f t="shared" si="6"/>
        <v>48.2</v>
      </c>
      <c r="I159">
        <f t="shared" si="7"/>
        <v>241</v>
      </c>
      <c r="J159">
        <f t="shared" si="8"/>
        <v>60.25</v>
      </c>
    </row>
    <row r="160" spans="1:10" x14ac:dyDescent="0.25">
      <c r="A160">
        <v>384</v>
      </c>
      <c r="B160" t="s">
        <v>390</v>
      </c>
      <c r="C160">
        <v>5</v>
      </c>
      <c r="D160">
        <v>4</v>
      </c>
      <c r="E160">
        <v>1</v>
      </c>
      <c r="F160">
        <v>3</v>
      </c>
      <c r="G160">
        <v>257</v>
      </c>
      <c r="H160">
        <f t="shared" si="6"/>
        <v>64.25</v>
      </c>
      <c r="I160">
        <f t="shared" si="7"/>
        <v>257</v>
      </c>
      <c r="J160">
        <f t="shared" si="8"/>
        <v>85.666666666666671</v>
      </c>
    </row>
    <row r="161" spans="1:10" x14ac:dyDescent="0.25">
      <c r="A161">
        <v>133</v>
      </c>
      <c r="B161" t="s">
        <v>139</v>
      </c>
      <c r="C161">
        <v>7</v>
      </c>
      <c r="D161">
        <v>6</v>
      </c>
      <c r="E161">
        <v>1</v>
      </c>
      <c r="F161">
        <v>5</v>
      </c>
      <c r="G161">
        <v>257</v>
      </c>
      <c r="H161">
        <f t="shared" si="6"/>
        <v>42.833333333333336</v>
      </c>
      <c r="I161">
        <f t="shared" si="7"/>
        <v>257</v>
      </c>
      <c r="J161">
        <f t="shared" si="8"/>
        <v>51.4</v>
      </c>
    </row>
    <row r="162" spans="1:10" x14ac:dyDescent="0.25">
      <c r="A162">
        <v>165</v>
      </c>
      <c r="B162" t="s">
        <v>171</v>
      </c>
      <c r="C162">
        <v>5</v>
      </c>
      <c r="D162">
        <v>2</v>
      </c>
      <c r="E162">
        <v>2</v>
      </c>
      <c r="F162">
        <v>0</v>
      </c>
      <c r="G162">
        <v>300</v>
      </c>
      <c r="H162">
        <f t="shared" si="6"/>
        <v>150</v>
      </c>
      <c r="I162">
        <f t="shared" si="7"/>
        <v>150</v>
      </c>
      <c r="J162" t="e">
        <f t="shared" si="8"/>
        <v>#DIV/0!</v>
      </c>
    </row>
    <row r="163" spans="1:10" x14ac:dyDescent="0.25">
      <c r="A163">
        <v>393</v>
      </c>
      <c r="B163" t="s">
        <v>399</v>
      </c>
      <c r="C163">
        <v>8</v>
      </c>
      <c r="D163">
        <v>2</v>
      </c>
      <c r="E163">
        <v>1</v>
      </c>
      <c r="F163">
        <v>1</v>
      </c>
      <c r="G163">
        <v>310</v>
      </c>
      <c r="H163">
        <f t="shared" si="6"/>
        <v>155</v>
      </c>
      <c r="I163">
        <f t="shared" si="7"/>
        <v>310</v>
      </c>
      <c r="J163">
        <f t="shared" si="8"/>
        <v>310</v>
      </c>
    </row>
    <row r="164" spans="1:10" x14ac:dyDescent="0.25">
      <c r="A164">
        <v>47</v>
      </c>
      <c r="B164" t="s">
        <v>53</v>
      </c>
      <c r="C164">
        <v>12</v>
      </c>
      <c r="D164">
        <v>11</v>
      </c>
      <c r="E164">
        <v>3</v>
      </c>
      <c r="F164">
        <v>8</v>
      </c>
      <c r="G164">
        <v>324</v>
      </c>
      <c r="H164">
        <f t="shared" si="6"/>
        <v>29.454545454545453</v>
      </c>
      <c r="I164">
        <f t="shared" si="7"/>
        <v>108</v>
      </c>
      <c r="J164">
        <f t="shared" si="8"/>
        <v>40.5</v>
      </c>
    </row>
    <row r="165" spans="1:10" x14ac:dyDescent="0.25">
      <c r="A165">
        <v>328</v>
      </c>
      <c r="B165" t="s">
        <v>334</v>
      </c>
      <c r="C165">
        <v>3</v>
      </c>
      <c r="D165">
        <v>2</v>
      </c>
      <c r="E165">
        <v>0</v>
      </c>
      <c r="F165">
        <v>2</v>
      </c>
      <c r="G165">
        <v>352</v>
      </c>
      <c r="H165">
        <f t="shared" si="6"/>
        <v>176</v>
      </c>
      <c r="I165" t="e">
        <f t="shared" si="7"/>
        <v>#DIV/0!</v>
      </c>
      <c r="J165">
        <f t="shared" si="8"/>
        <v>176</v>
      </c>
    </row>
    <row r="166" spans="1:10" x14ac:dyDescent="0.25">
      <c r="A166">
        <v>280</v>
      </c>
      <c r="B166" t="s">
        <v>286</v>
      </c>
      <c r="C166">
        <v>5</v>
      </c>
      <c r="D166">
        <v>4</v>
      </c>
      <c r="E166">
        <v>0</v>
      </c>
      <c r="F166">
        <v>4</v>
      </c>
      <c r="G166">
        <v>370</v>
      </c>
      <c r="H166">
        <f t="shared" si="6"/>
        <v>92.5</v>
      </c>
      <c r="I166" t="e">
        <f t="shared" si="7"/>
        <v>#DIV/0!</v>
      </c>
      <c r="J166">
        <f t="shared" si="8"/>
        <v>92.5</v>
      </c>
    </row>
    <row r="167" spans="1:10" x14ac:dyDescent="0.25">
      <c r="A167">
        <v>404</v>
      </c>
      <c r="B167" t="s">
        <v>410</v>
      </c>
      <c r="C167">
        <v>4</v>
      </c>
      <c r="D167">
        <v>2</v>
      </c>
      <c r="E167">
        <v>0</v>
      </c>
      <c r="F167">
        <v>2</v>
      </c>
      <c r="G167">
        <v>377</v>
      </c>
      <c r="H167">
        <f t="shared" si="6"/>
        <v>188.5</v>
      </c>
      <c r="I167" t="e">
        <f t="shared" si="7"/>
        <v>#DIV/0!</v>
      </c>
      <c r="J167">
        <f t="shared" si="8"/>
        <v>188.5</v>
      </c>
    </row>
    <row r="168" spans="1:10" x14ac:dyDescent="0.25">
      <c r="A168">
        <v>409</v>
      </c>
      <c r="B168" t="s">
        <v>415</v>
      </c>
      <c r="C168">
        <v>15</v>
      </c>
      <c r="D168">
        <v>5</v>
      </c>
      <c r="E168">
        <v>0</v>
      </c>
      <c r="F168">
        <v>5</v>
      </c>
      <c r="G168">
        <v>405</v>
      </c>
      <c r="H168">
        <f t="shared" si="6"/>
        <v>81</v>
      </c>
      <c r="I168" t="e">
        <f t="shared" si="7"/>
        <v>#DIV/0!</v>
      </c>
      <c r="J168">
        <f t="shared" si="8"/>
        <v>81</v>
      </c>
    </row>
    <row r="169" spans="1:10" x14ac:dyDescent="0.25">
      <c r="A169">
        <v>127</v>
      </c>
      <c r="B169" t="s">
        <v>133</v>
      </c>
      <c r="C169">
        <v>5</v>
      </c>
      <c r="D169">
        <v>1</v>
      </c>
      <c r="E169">
        <v>0</v>
      </c>
      <c r="F169">
        <v>1</v>
      </c>
      <c r="G169">
        <v>406</v>
      </c>
      <c r="H169">
        <f t="shared" si="6"/>
        <v>406</v>
      </c>
      <c r="I169" t="e">
        <f t="shared" si="7"/>
        <v>#DIV/0!</v>
      </c>
      <c r="J169">
        <f t="shared" si="8"/>
        <v>406</v>
      </c>
    </row>
    <row r="170" spans="1:10" x14ac:dyDescent="0.25">
      <c r="A170">
        <v>262</v>
      </c>
      <c r="B170" t="s">
        <v>268</v>
      </c>
      <c r="C170">
        <v>6</v>
      </c>
      <c r="D170">
        <v>3</v>
      </c>
      <c r="E170">
        <v>1</v>
      </c>
      <c r="F170">
        <v>2</v>
      </c>
      <c r="G170">
        <v>431</v>
      </c>
      <c r="H170">
        <f t="shared" si="6"/>
        <v>143.66666666666666</v>
      </c>
      <c r="I170">
        <f t="shared" si="7"/>
        <v>431</v>
      </c>
      <c r="J170">
        <f t="shared" si="8"/>
        <v>215.5</v>
      </c>
    </row>
    <row r="171" spans="1:10" x14ac:dyDescent="0.25">
      <c r="A171">
        <v>234</v>
      </c>
      <c r="B171" t="s">
        <v>240</v>
      </c>
      <c r="C171">
        <v>4</v>
      </c>
      <c r="D171">
        <v>3</v>
      </c>
      <c r="E171">
        <v>0</v>
      </c>
      <c r="F171">
        <v>3</v>
      </c>
      <c r="G171">
        <v>432</v>
      </c>
      <c r="H171">
        <f t="shared" si="6"/>
        <v>144</v>
      </c>
      <c r="I171" t="e">
        <f t="shared" si="7"/>
        <v>#DIV/0!</v>
      </c>
      <c r="J171">
        <f t="shared" si="8"/>
        <v>144</v>
      </c>
    </row>
    <row r="172" spans="1:10" x14ac:dyDescent="0.25">
      <c r="A172">
        <v>417</v>
      </c>
      <c r="B172" t="s">
        <v>423</v>
      </c>
      <c r="C172">
        <v>2</v>
      </c>
      <c r="D172">
        <v>1</v>
      </c>
      <c r="E172">
        <v>0</v>
      </c>
      <c r="F172">
        <v>1</v>
      </c>
      <c r="G172">
        <v>439</v>
      </c>
      <c r="H172">
        <f t="shared" si="6"/>
        <v>439</v>
      </c>
      <c r="I172" t="e">
        <f t="shared" si="7"/>
        <v>#DIV/0!</v>
      </c>
      <c r="J172">
        <f t="shared" si="8"/>
        <v>439</v>
      </c>
    </row>
    <row r="173" spans="1:10" x14ac:dyDescent="0.25">
      <c r="A173">
        <v>72</v>
      </c>
      <c r="B173" t="s">
        <v>78</v>
      </c>
      <c r="C173">
        <v>4</v>
      </c>
      <c r="D173">
        <v>3</v>
      </c>
      <c r="E173">
        <v>0</v>
      </c>
      <c r="F173">
        <v>3</v>
      </c>
      <c r="G173">
        <v>448</v>
      </c>
      <c r="H173">
        <f t="shared" si="6"/>
        <v>149.33333333333334</v>
      </c>
      <c r="I173" t="e">
        <f t="shared" si="7"/>
        <v>#DIV/0!</v>
      </c>
      <c r="J173">
        <f t="shared" si="8"/>
        <v>149.33333333333334</v>
      </c>
    </row>
    <row r="174" spans="1:10" x14ac:dyDescent="0.25">
      <c r="A174">
        <v>227</v>
      </c>
      <c r="B174" t="s">
        <v>233</v>
      </c>
      <c r="C174">
        <v>7</v>
      </c>
      <c r="D174">
        <v>4</v>
      </c>
      <c r="E174">
        <v>0</v>
      </c>
      <c r="F174">
        <v>4</v>
      </c>
      <c r="G174">
        <v>449</v>
      </c>
      <c r="H174">
        <f t="shared" si="6"/>
        <v>112.25</v>
      </c>
      <c r="I174" t="e">
        <f t="shared" si="7"/>
        <v>#DIV/0!</v>
      </c>
      <c r="J174">
        <f t="shared" si="8"/>
        <v>112.25</v>
      </c>
    </row>
    <row r="175" spans="1:10" x14ac:dyDescent="0.25">
      <c r="A175">
        <v>286</v>
      </c>
      <c r="B175" t="s">
        <v>292</v>
      </c>
      <c r="C175">
        <v>4</v>
      </c>
      <c r="D175">
        <v>3</v>
      </c>
      <c r="E175">
        <v>1</v>
      </c>
      <c r="F175">
        <v>2</v>
      </c>
      <c r="G175">
        <v>456</v>
      </c>
      <c r="H175">
        <f t="shared" si="6"/>
        <v>152</v>
      </c>
      <c r="I175">
        <f t="shared" si="7"/>
        <v>456</v>
      </c>
      <c r="J175">
        <f t="shared" si="8"/>
        <v>228</v>
      </c>
    </row>
    <row r="176" spans="1:10" x14ac:dyDescent="0.25">
      <c r="A176">
        <v>113</v>
      </c>
      <c r="B176" t="s">
        <v>119</v>
      </c>
      <c r="C176">
        <v>8</v>
      </c>
      <c r="D176">
        <v>7</v>
      </c>
      <c r="E176">
        <v>2</v>
      </c>
      <c r="F176">
        <v>5</v>
      </c>
      <c r="G176">
        <v>461</v>
      </c>
      <c r="H176">
        <f t="shared" si="6"/>
        <v>65.857142857142861</v>
      </c>
      <c r="I176">
        <f t="shared" si="7"/>
        <v>230.5</v>
      </c>
      <c r="J176">
        <f t="shared" si="8"/>
        <v>92.2</v>
      </c>
    </row>
    <row r="177" spans="1:10" x14ac:dyDescent="0.25">
      <c r="A177">
        <v>285</v>
      </c>
      <c r="B177" t="s">
        <v>291</v>
      </c>
      <c r="C177">
        <v>3</v>
      </c>
      <c r="D177">
        <v>2</v>
      </c>
      <c r="E177">
        <v>0</v>
      </c>
      <c r="F177">
        <v>2</v>
      </c>
      <c r="G177">
        <v>474</v>
      </c>
      <c r="H177">
        <f t="shared" si="6"/>
        <v>237</v>
      </c>
      <c r="I177" t="e">
        <f t="shared" si="7"/>
        <v>#DIV/0!</v>
      </c>
      <c r="J177">
        <f t="shared" si="8"/>
        <v>237</v>
      </c>
    </row>
    <row r="178" spans="1:10" x14ac:dyDescent="0.25">
      <c r="A178">
        <v>284</v>
      </c>
      <c r="B178" t="s">
        <v>290</v>
      </c>
      <c r="C178">
        <v>9</v>
      </c>
      <c r="D178">
        <v>5</v>
      </c>
      <c r="E178">
        <v>1</v>
      </c>
      <c r="F178">
        <v>4</v>
      </c>
      <c r="G178">
        <v>516</v>
      </c>
      <c r="H178">
        <f t="shared" si="6"/>
        <v>103.2</v>
      </c>
      <c r="I178">
        <f t="shared" si="7"/>
        <v>516</v>
      </c>
      <c r="J178">
        <f t="shared" si="8"/>
        <v>129</v>
      </c>
    </row>
    <row r="179" spans="1:10" x14ac:dyDescent="0.25">
      <c r="A179">
        <v>354</v>
      </c>
      <c r="B179" t="s">
        <v>360</v>
      </c>
      <c r="C179">
        <v>11</v>
      </c>
      <c r="D179">
        <v>5</v>
      </c>
      <c r="E179">
        <v>2</v>
      </c>
      <c r="F179">
        <v>3</v>
      </c>
      <c r="G179">
        <v>524</v>
      </c>
      <c r="H179">
        <f t="shared" si="6"/>
        <v>104.8</v>
      </c>
      <c r="I179">
        <f t="shared" si="7"/>
        <v>262</v>
      </c>
      <c r="J179">
        <f t="shared" si="8"/>
        <v>174.66666666666666</v>
      </c>
    </row>
    <row r="180" spans="1:10" x14ac:dyDescent="0.25">
      <c r="A180">
        <v>352</v>
      </c>
      <c r="B180" t="s">
        <v>358</v>
      </c>
      <c r="C180">
        <v>11</v>
      </c>
      <c r="D180">
        <v>8</v>
      </c>
      <c r="E180">
        <v>2</v>
      </c>
      <c r="F180">
        <v>6</v>
      </c>
      <c r="G180">
        <v>524</v>
      </c>
      <c r="H180">
        <f t="shared" si="6"/>
        <v>65.5</v>
      </c>
      <c r="I180">
        <f t="shared" si="7"/>
        <v>262</v>
      </c>
      <c r="J180">
        <f t="shared" si="8"/>
        <v>87.333333333333329</v>
      </c>
    </row>
    <row r="181" spans="1:10" x14ac:dyDescent="0.25">
      <c r="A181">
        <v>313</v>
      </c>
      <c r="B181" t="s">
        <v>319</v>
      </c>
      <c r="C181">
        <v>13</v>
      </c>
      <c r="D181">
        <v>1</v>
      </c>
      <c r="E181">
        <v>0</v>
      </c>
      <c r="F181">
        <v>1</v>
      </c>
      <c r="G181">
        <v>540</v>
      </c>
      <c r="H181">
        <f t="shared" si="6"/>
        <v>540</v>
      </c>
      <c r="I181" t="e">
        <f t="shared" si="7"/>
        <v>#DIV/0!</v>
      </c>
      <c r="J181">
        <f t="shared" si="8"/>
        <v>540</v>
      </c>
    </row>
    <row r="182" spans="1:10" x14ac:dyDescent="0.25">
      <c r="A182">
        <v>117</v>
      </c>
      <c r="B182" t="s">
        <v>123</v>
      </c>
      <c r="C182">
        <v>4</v>
      </c>
      <c r="D182">
        <v>3</v>
      </c>
      <c r="E182">
        <v>1</v>
      </c>
      <c r="F182">
        <v>2</v>
      </c>
      <c r="G182">
        <v>568</v>
      </c>
      <c r="H182">
        <f t="shared" si="6"/>
        <v>189.33333333333334</v>
      </c>
      <c r="I182">
        <f t="shared" si="7"/>
        <v>568</v>
      </c>
      <c r="J182">
        <f t="shared" si="8"/>
        <v>284</v>
      </c>
    </row>
    <row r="183" spans="1:10" x14ac:dyDescent="0.25">
      <c r="A183">
        <v>79</v>
      </c>
      <c r="B183" t="s">
        <v>85</v>
      </c>
      <c r="C183">
        <v>8</v>
      </c>
      <c r="D183">
        <v>3</v>
      </c>
      <c r="E183">
        <v>0</v>
      </c>
      <c r="F183">
        <v>3</v>
      </c>
      <c r="G183">
        <v>569</v>
      </c>
      <c r="H183">
        <f t="shared" si="6"/>
        <v>189.66666666666666</v>
      </c>
      <c r="I183" t="e">
        <f t="shared" si="7"/>
        <v>#DIV/0!</v>
      </c>
      <c r="J183">
        <f t="shared" si="8"/>
        <v>189.66666666666666</v>
      </c>
    </row>
    <row r="184" spans="1:10" x14ac:dyDescent="0.25">
      <c r="A184">
        <v>32</v>
      </c>
      <c r="B184" t="s">
        <v>38</v>
      </c>
      <c r="C184">
        <v>9</v>
      </c>
      <c r="D184">
        <v>7</v>
      </c>
      <c r="E184">
        <v>2</v>
      </c>
      <c r="F184">
        <v>5</v>
      </c>
      <c r="G184">
        <v>569</v>
      </c>
      <c r="H184">
        <f t="shared" si="6"/>
        <v>81.285714285714292</v>
      </c>
      <c r="I184">
        <f t="shared" si="7"/>
        <v>284.5</v>
      </c>
      <c r="J184">
        <f t="shared" si="8"/>
        <v>113.8</v>
      </c>
    </row>
    <row r="185" spans="1:10" x14ac:dyDescent="0.25">
      <c r="A185">
        <v>369</v>
      </c>
      <c r="B185" t="s">
        <v>375</v>
      </c>
      <c r="C185">
        <v>6</v>
      </c>
      <c r="D185">
        <v>3</v>
      </c>
      <c r="E185">
        <v>0</v>
      </c>
      <c r="F185">
        <v>3</v>
      </c>
      <c r="G185">
        <v>594</v>
      </c>
      <c r="H185">
        <f t="shared" si="6"/>
        <v>198</v>
      </c>
      <c r="I185" t="e">
        <f t="shared" si="7"/>
        <v>#DIV/0!</v>
      </c>
      <c r="J185">
        <f t="shared" si="8"/>
        <v>198</v>
      </c>
    </row>
    <row r="186" spans="1:10" x14ac:dyDescent="0.25">
      <c r="A186">
        <v>187</v>
      </c>
      <c r="B186" t="s">
        <v>193</v>
      </c>
      <c r="C186">
        <v>5</v>
      </c>
      <c r="D186">
        <v>2</v>
      </c>
      <c r="E186">
        <v>2</v>
      </c>
      <c r="F186">
        <v>0</v>
      </c>
      <c r="G186">
        <v>634</v>
      </c>
      <c r="H186">
        <f t="shared" si="6"/>
        <v>317</v>
      </c>
      <c r="I186">
        <f t="shared" si="7"/>
        <v>317</v>
      </c>
      <c r="J186" t="e">
        <f t="shared" si="8"/>
        <v>#DIV/0!</v>
      </c>
    </row>
    <row r="187" spans="1:10" x14ac:dyDescent="0.25">
      <c r="A187">
        <v>380</v>
      </c>
      <c r="B187" t="s">
        <v>386</v>
      </c>
      <c r="C187">
        <v>7</v>
      </c>
      <c r="D187">
        <v>5</v>
      </c>
      <c r="E187">
        <v>0</v>
      </c>
      <c r="F187">
        <v>5</v>
      </c>
      <c r="G187">
        <v>645</v>
      </c>
      <c r="H187">
        <f t="shared" si="6"/>
        <v>129</v>
      </c>
      <c r="I187" t="e">
        <f t="shared" si="7"/>
        <v>#DIV/0!</v>
      </c>
      <c r="J187">
        <f t="shared" si="8"/>
        <v>129</v>
      </c>
    </row>
    <row r="188" spans="1:10" x14ac:dyDescent="0.25">
      <c r="A188">
        <v>141</v>
      </c>
      <c r="B188" t="s">
        <v>147</v>
      </c>
      <c r="C188">
        <v>10</v>
      </c>
      <c r="D188">
        <v>7</v>
      </c>
      <c r="E188">
        <v>0</v>
      </c>
      <c r="F188">
        <v>7</v>
      </c>
      <c r="G188">
        <v>647</v>
      </c>
      <c r="H188">
        <f t="shared" si="6"/>
        <v>92.428571428571431</v>
      </c>
      <c r="I188" t="e">
        <f t="shared" si="7"/>
        <v>#DIV/0!</v>
      </c>
      <c r="J188">
        <f t="shared" si="8"/>
        <v>92.428571428571431</v>
      </c>
    </row>
    <row r="189" spans="1:10" x14ac:dyDescent="0.25">
      <c r="A189">
        <v>166</v>
      </c>
      <c r="B189" t="s">
        <v>172</v>
      </c>
      <c r="C189">
        <v>10</v>
      </c>
      <c r="D189">
        <v>4</v>
      </c>
      <c r="E189">
        <v>2</v>
      </c>
      <c r="F189">
        <v>2</v>
      </c>
      <c r="G189">
        <v>657</v>
      </c>
      <c r="H189">
        <f t="shared" si="6"/>
        <v>164.25</v>
      </c>
      <c r="I189">
        <f t="shared" si="7"/>
        <v>328.5</v>
      </c>
      <c r="J189">
        <f t="shared" si="8"/>
        <v>328.5</v>
      </c>
    </row>
    <row r="190" spans="1:10" x14ac:dyDescent="0.25">
      <c r="A190">
        <v>283</v>
      </c>
      <c r="B190" t="s">
        <v>289</v>
      </c>
      <c r="C190">
        <v>10</v>
      </c>
      <c r="D190">
        <v>9</v>
      </c>
      <c r="E190">
        <v>0</v>
      </c>
      <c r="F190">
        <v>9</v>
      </c>
      <c r="G190">
        <v>684</v>
      </c>
      <c r="H190">
        <f t="shared" si="6"/>
        <v>76</v>
      </c>
      <c r="I190" t="e">
        <f t="shared" si="7"/>
        <v>#DIV/0!</v>
      </c>
      <c r="J190">
        <f t="shared" si="8"/>
        <v>76</v>
      </c>
    </row>
    <row r="191" spans="1:10" x14ac:dyDescent="0.25">
      <c r="A191">
        <v>405</v>
      </c>
      <c r="B191" t="s">
        <v>411</v>
      </c>
      <c r="C191">
        <v>2</v>
      </c>
      <c r="D191">
        <v>1</v>
      </c>
      <c r="E191">
        <v>0</v>
      </c>
      <c r="F191">
        <v>1</v>
      </c>
      <c r="G191">
        <v>720</v>
      </c>
      <c r="H191">
        <f t="shared" si="6"/>
        <v>720</v>
      </c>
      <c r="I191" t="e">
        <f t="shared" si="7"/>
        <v>#DIV/0!</v>
      </c>
      <c r="J191">
        <f t="shared" si="8"/>
        <v>720</v>
      </c>
    </row>
    <row r="192" spans="1:10" x14ac:dyDescent="0.25">
      <c r="A192">
        <v>114</v>
      </c>
      <c r="B192" t="s">
        <v>120</v>
      </c>
      <c r="C192">
        <v>21</v>
      </c>
      <c r="D192">
        <v>17</v>
      </c>
      <c r="E192">
        <v>4</v>
      </c>
      <c r="F192">
        <v>13</v>
      </c>
      <c r="G192">
        <v>734</v>
      </c>
      <c r="H192">
        <f t="shared" si="6"/>
        <v>43.176470588235297</v>
      </c>
      <c r="I192">
        <f t="shared" si="7"/>
        <v>183.5</v>
      </c>
      <c r="J192">
        <f t="shared" si="8"/>
        <v>56.46153846153846</v>
      </c>
    </row>
    <row r="193" spans="1:10" x14ac:dyDescent="0.25">
      <c r="A193">
        <v>261</v>
      </c>
      <c r="B193" t="s">
        <v>267</v>
      </c>
      <c r="C193">
        <v>8</v>
      </c>
      <c r="D193">
        <v>7</v>
      </c>
      <c r="E193">
        <v>2</v>
      </c>
      <c r="F193">
        <v>5</v>
      </c>
      <c r="G193">
        <v>742</v>
      </c>
      <c r="H193">
        <f t="shared" si="6"/>
        <v>106</v>
      </c>
      <c r="I193">
        <f t="shared" si="7"/>
        <v>371</v>
      </c>
      <c r="J193">
        <f t="shared" si="8"/>
        <v>148.4</v>
      </c>
    </row>
    <row r="194" spans="1:10" x14ac:dyDescent="0.25">
      <c r="A194">
        <v>355</v>
      </c>
      <c r="B194" t="s">
        <v>361</v>
      </c>
      <c r="C194">
        <v>9</v>
      </c>
      <c r="D194">
        <v>8</v>
      </c>
      <c r="E194">
        <v>2</v>
      </c>
      <c r="F194">
        <v>6</v>
      </c>
      <c r="G194">
        <v>755</v>
      </c>
      <c r="H194">
        <f t="shared" ref="H194:H257" si="9">G194/D194</f>
        <v>94.375</v>
      </c>
      <c r="I194">
        <f t="shared" ref="I194:I257" si="10">G194/E194</f>
        <v>377.5</v>
      </c>
      <c r="J194">
        <f t="shared" ref="J194:J257" si="11">G194/F194</f>
        <v>125.83333333333333</v>
      </c>
    </row>
    <row r="195" spans="1:10" x14ac:dyDescent="0.25">
      <c r="A195">
        <v>94</v>
      </c>
      <c r="B195" t="s">
        <v>100</v>
      </c>
      <c r="C195">
        <v>10</v>
      </c>
      <c r="D195">
        <v>8</v>
      </c>
      <c r="E195">
        <v>3</v>
      </c>
      <c r="F195">
        <v>5</v>
      </c>
      <c r="G195">
        <v>755</v>
      </c>
      <c r="H195">
        <f t="shared" si="9"/>
        <v>94.375</v>
      </c>
      <c r="I195">
        <f t="shared" si="10"/>
        <v>251.66666666666666</v>
      </c>
      <c r="J195">
        <f t="shared" si="11"/>
        <v>151</v>
      </c>
    </row>
    <row r="196" spans="1:10" x14ac:dyDescent="0.25">
      <c r="A196">
        <v>218</v>
      </c>
      <c r="B196" t="s">
        <v>224</v>
      </c>
      <c r="C196">
        <v>10</v>
      </c>
      <c r="D196">
        <v>5</v>
      </c>
      <c r="E196">
        <v>1</v>
      </c>
      <c r="F196">
        <v>4</v>
      </c>
      <c r="G196">
        <v>761</v>
      </c>
      <c r="H196">
        <f t="shared" si="9"/>
        <v>152.19999999999999</v>
      </c>
      <c r="I196">
        <f t="shared" si="10"/>
        <v>761</v>
      </c>
      <c r="J196">
        <f t="shared" si="11"/>
        <v>190.25</v>
      </c>
    </row>
    <row r="197" spans="1:10" x14ac:dyDescent="0.25">
      <c r="A197">
        <v>349</v>
      </c>
      <c r="B197" t="s">
        <v>355</v>
      </c>
      <c r="C197">
        <v>9</v>
      </c>
      <c r="D197">
        <v>7</v>
      </c>
      <c r="E197">
        <v>0</v>
      </c>
      <c r="F197">
        <v>7</v>
      </c>
      <c r="G197">
        <v>762</v>
      </c>
      <c r="H197">
        <f t="shared" si="9"/>
        <v>108.85714285714286</v>
      </c>
      <c r="I197" t="e">
        <f t="shared" si="10"/>
        <v>#DIV/0!</v>
      </c>
      <c r="J197">
        <f t="shared" si="11"/>
        <v>108.85714285714286</v>
      </c>
    </row>
    <row r="198" spans="1:10" x14ac:dyDescent="0.25">
      <c r="A198">
        <v>168</v>
      </c>
      <c r="B198" t="s">
        <v>174</v>
      </c>
      <c r="C198">
        <v>4</v>
      </c>
      <c r="D198">
        <v>2</v>
      </c>
      <c r="E198">
        <v>1</v>
      </c>
      <c r="F198">
        <v>1</v>
      </c>
      <c r="G198">
        <v>764</v>
      </c>
      <c r="H198">
        <f t="shared" si="9"/>
        <v>382</v>
      </c>
      <c r="I198">
        <f t="shared" si="10"/>
        <v>764</v>
      </c>
      <c r="J198">
        <f t="shared" si="11"/>
        <v>764</v>
      </c>
    </row>
    <row r="199" spans="1:10" x14ac:dyDescent="0.25">
      <c r="A199">
        <v>378</v>
      </c>
      <c r="B199" t="s">
        <v>384</v>
      </c>
      <c r="C199">
        <v>4</v>
      </c>
      <c r="D199">
        <v>3</v>
      </c>
      <c r="E199">
        <v>0</v>
      </c>
      <c r="F199">
        <v>3</v>
      </c>
      <c r="G199">
        <v>779</v>
      </c>
      <c r="H199">
        <f t="shared" si="9"/>
        <v>259.66666666666669</v>
      </c>
      <c r="I199" t="e">
        <f t="shared" si="10"/>
        <v>#DIV/0!</v>
      </c>
      <c r="J199">
        <f t="shared" si="11"/>
        <v>259.66666666666669</v>
      </c>
    </row>
    <row r="200" spans="1:10" x14ac:dyDescent="0.25">
      <c r="A200">
        <v>91</v>
      </c>
      <c r="B200" t="s">
        <v>97</v>
      </c>
      <c r="C200">
        <v>8</v>
      </c>
      <c r="D200">
        <v>6</v>
      </c>
      <c r="E200">
        <v>1</v>
      </c>
      <c r="F200">
        <v>5</v>
      </c>
      <c r="G200">
        <v>797</v>
      </c>
      <c r="H200">
        <f t="shared" si="9"/>
        <v>132.83333333333334</v>
      </c>
      <c r="I200">
        <f t="shared" si="10"/>
        <v>797</v>
      </c>
      <c r="J200">
        <f t="shared" si="11"/>
        <v>159.4</v>
      </c>
    </row>
    <row r="201" spans="1:10" x14ac:dyDescent="0.25">
      <c r="A201">
        <v>410</v>
      </c>
      <c r="B201" t="s">
        <v>416</v>
      </c>
      <c r="C201">
        <v>4</v>
      </c>
      <c r="D201">
        <v>3</v>
      </c>
      <c r="E201">
        <v>0</v>
      </c>
      <c r="F201">
        <v>3</v>
      </c>
      <c r="G201">
        <v>798</v>
      </c>
      <c r="H201">
        <f t="shared" si="9"/>
        <v>266</v>
      </c>
      <c r="I201" t="e">
        <f t="shared" si="10"/>
        <v>#DIV/0!</v>
      </c>
      <c r="J201">
        <f t="shared" si="11"/>
        <v>266</v>
      </c>
    </row>
    <row r="202" spans="1:10" x14ac:dyDescent="0.25">
      <c r="A202">
        <v>55</v>
      </c>
      <c r="B202" t="s">
        <v>61</v>
      </c>
      <c r="C202">
        <v>6</v>
      </c>
      <c r="D202">
        <v>5</v>
      </c>
      <c r="E202">
        <v>4</v>
      </c>
      <c r="F202">
        <v>1</v>
      </c>
      <c r="G202">
        <v>823</v>
      </c>
      <c r="H202">
        <f t="shared" si="9"/>
        <v>164.6</v>
      </c>
      <c r="I202">
        <f t="shared" si="10"/>
        <v>205.75</v>
      </c>
      <c r="J202">
        <f t="shared" si="11"/>
        <v>823</v>
      </c>
    </row>
    <row r="203" spans="1:10" x14ac:dyDescent="0.25">
      <c r="A203">
        <v>295</v>
      </c>
      <c r="B203" t="s">
        <v>301</v>
      </c>
      <c r="C203">
        <v>4</v>
      </c>
      <c r="D203">
        <v>3</v>
      </c>
      <c r="E203">
        <v>1</v>
      </c>
      <c r="F203">
        <v>2</v>
      </c>
      <c r="G203">
        <v>851</v>
      </c>
      <c r="H203">
        <f t="shared" si="9"/>
        <v>283.66666666666669</v>
      </c>
      <c r="I203">
        <f t="shared" si="10"/>
        <v>851</v>
      </c>
      <c r="J203">
        <f t="shared" si="11"/>
        <v>425.5</v>
      </c>
    </row>
    <row r="204" spans="1:10" x14ac:dyDescent="0.25">
      <c r="A204">
        <v>260</v>
      </c>
      <c r="B204" t="s">
        <v>266</v>
      </c>
      <c r="C204">
        <v>6</v>
      </c>
      <c r="D204">
        <v>4</v>
      </c>
      <c r="E204">
        <v>1</v>
      </c>
      <c r="F204">
        <v>3</v>
      </c>
      <c r="G204">
        <v>862</v>
      </c>
      <c r="H204">
        <f t="shared" si="9"/>
        <v>215.5</v>
      </c>
      <c r="I204">
        <f t="shared" si="10"/>
        <v>862</v>
      </c>
      <c r="J204">
        <f t="shared" si="11"/>
        <v>287.33333333333331</v>
      </c>
    </row>
    <row r="205" spans="1:10" x14ac:dyDescent="0.25">
      <c r="A205">
        <v>128</v>
      </c>
      <c r="B205" t="s">
        <v>134</v>
      </c>
      <c r="C205">
        <v>13</v>
      </c>
      <c r="D205">
        <v>11</v>
      </c>
      <c r="E205">
        <v>2</v>
      </c>
      <c r="F205">
        <v>9</v>
      </c>
      <c r="G205">
        <v>878</v>
      </c>
      <c r="H205">
        <f t="shared" si="9"/>
        <v>79.818181818181813</v>
      </c>
      <c r="I205">
        <f t="shared" si="10"/>
        <v>439</v>
      </c>
      <c r="J205">
        <f t="shared" si="11"/>
        <v>97.555555555555557</v>
      </c>
    </row>
    <row r="206" spans="1:10" x14ac:dyDescent="0.25">
      <c r="A206">
        <v>274</v>
      </c>
      <c r="B206" t="s">
        <v>280</v>
      </c>
      <c r="C206">
        <v>6</v>
      </c>
      <c r="D206">
        <v>5</v>
      </c>
      <c r="E206">
        <v>0</v>
      </c>
      <c r="F206">
        <v>5</v>
      </c>
      <c r="G206">
        <v>918</v>
      </c>
      <c r="H206">
        <f t="shared" si="9"/>
        <v>183.6</v>
      </c>
      <c r="I206" t="e">
        <f t="shared" si="10"/>
        <v>#DIV/0!</v>
      </c>
      <c r="J206">
        <f t="shared" si="11"/>
        <v>183.6</v>
      </c>
    </row>
    <row r="207" spans="1:10" x14ac:dyDescent="0.25">
      <c r="A207">
        <v>209</v>
      </c>
      <c r="B207" t="s">
        <v>215</v>
      </c>
      <c r="C207">
        <v>6</v>
      </c>
      <c r="D207">
        <v>5</v>
      </c>
      <c r="E207">
        <v>2</v>
      </c>
      <c r="F207">
        <v>3</v>
      </c>
      <c r="G207">
        <v>919</v>
      </c>
      <c r="H207">
        <f t="shared" si="9"/>
        <v>183.8</v>
      </c>
      <c r="I207">
        <f t="shared" si="10"/>
        <v>459.5</v>
      </c>
      <c r="J207">
        <f t="shared" si="11"/>
        <v>306.33333333333331</v>
      </c>
    </row>
    <row r="208" spans="1:10" x14ac:dyDescent="0.25">
      <c r="A208">
        <v>36</v>
      </c>
      <c r="B208" t="s">
        <v>42</v>
      </c>
      <c r="C208">
        <v>8</v>
      </c>
      <c r="D208">
        <v>6</v>
      </c>
      <c r="E208">
        <v>1</v>
      </c>
      <c r="F208">
        <v>5</v>
      </c>
      <c r="G208">
        <v>961</v>
      </c>
      <c r="H208">
        <f t="shared" si="9"/>
        <v>160.16666666666666</v>
      </c>
      <c r="I208">
        <f t="shared" si="10"/>
        <v>961</v>
      </c>
      <c r="J208">
        <f t="shared" si="11"/>
        <v>192.2</v>
      </c>
    </row>
    <row r="209" spans="1:10" x14ac:dyDescent="0.25">
      <c r="A209">
        <v>251</v>
      </c>
      <c r="B209" t="s">
        <v>257</v>
      </c>
      <c r="C209">
        <v>11</v>
      </c>
      <c r="D209">
        <v>5</v>
      </c>
      <c r="E209">
        <v>1</v>
      </c>
      <c r="F209">
        <v>4</v>
      </c>
      <c r="G209">
        <v>973</v>
      </c>
      <c r="H209">
        <f t="shared" si="9"/>
        <v>194.6</v>
      </c>
      <c r="I209">
        <f t="shared" si="10"/>
        <v>973</v>
      </c>
      <c r="J209">
        <f t="shared" si="11"/>
        <v>243.25</v>
      </c>
    </row>
    <row r="210" spans="1:10" x14ac:dyDescent="0.25">
      <c r="A210">
        <v>396</v>
      </c>
      <c r="B210" t="s">
        <v>402</v>
      </c>
      <c r="C210">
        <v>7</v>
      </c>
      <c r="D210">
        <v>6</v>
      </c>
      <c r="E210">
        <v>0</v>
      </c>
      <c r="F210">
        <v>6</v>
      </c>
      <c r="G210">
        <v>985</v>
      </c>
      <c r="H210">
        <f t="shared" si="9"/>
        <v>164.16666666666666</v>
      </c>
      <c r="I210" t="e">
        <f t="shared" si="10"/>
        <v>#DIV/0!</v>
      </c>
      <c r="J210">
        <f t="shared" si="11"/>
        <v>164.16666666666666</v>
      </c>
    </row>
    <row r="211" spans="1:10" x14ac:dyDescent="0.25">
      <c r="A211">
        <v>247</v>
      </c>
      <c r="B211" t="s">
        <v>253</v>
      </c>
      <c r="C211">
        <v>10</v>
      </c>
      <c r="D211">
        <v>6</v>
      </c>
      <c r="E211">
        <v>1</v>
      </c>
      <c r="F211">
        <v>5</v>
      </c>
      <c r="G211">
        <v>986</v>
      </c>
      <c r="H211">
        <f t="shared" si="9"/>
        <v>164.33333333333334</v>
      </c>
      <c r="I211">
        <f t="shared" si="10"/>
        <v>986</v>
      </c>
      <c r="J211">
        <f t="shared" si="11"/>
        <v>197.2</v>
      </c>
    </row>
    <row r="212" spans="1:10" x14ac:dyDescent="0.25">
      <c r="A212">
        <v>275</v>
      </c>
      <c r="B212" t="s">
        <v>281</v>
      </c>
      <c r="C212">
        <v>5</v>
      </c>
      <c r="D212">
        <v>4</v>
      </c>
      <c r="E212">
        <v>0</v>
      </c>
      <c r="F212">
        <v>4</v>
      </c>
      <c r="G212">
        <v>987</v>
      </c>
      <c r="H212">
        <f t="shared" si="9"/>
        <v>246.75</v>
      </c>
      <c r="I212" t="e">
        <f t="shared" si="10"/>
        <v>#DIV/0!</v>
      </c>
      <c r="J212">
        <f t="shared" si="11"/>
        <v>246.75</v>
      </c>
    </row>
    <row r="213" spans="1:10" x14ac:dyDescent="0.25">
      <c r="A213">
        <v>387</v>
      </c>
      <c r="B213" t="s">
        <v>393</v>
      </c>
      <c r="C213">
        <v>8</v>
      </c>
      <c r="D213">
        <v>2</v>
      </c>
      <c r="E213">
        <v>1</v>
      </c>
      <c r="F213">
        <v>1</v>
      </c>
      <c r="G213">
        <v>991</v>
      </c>
      <c r="H213">
        <f t="shared" si="9"/>
        <v>495.5</v>
      </c>
      <c r="I213">
        <f t="shared" si="10"/>
        <v>991</v>
      </c>
      <c r="J213">
        <f t="shared" si="11"/>
        <v>991</v>
      </c>
    </row>
    <row r="214" spans="1:10" x14ac:dyDescent="0.25">
      <c r="A214">
        <v>124</v>
      </c>
      <c r="B214" t="s">
        <v>130</v>
      </c>
      <c r="C214">
        <v>9</v>
      </c>
      <c r="D214">
        <v>8</v>
      </c>
      <c r="E214">
        <v>2</v>
      </c>
      <c r="F214">
        <v>6</v>
      </c>
      <c r="G214">
        <v>998</v>
      </c>
      <c r="H214">
        <f t="shared" si="9"/>
        <v>124.75</v>
      </c>
      <c r="I214">
        <f t="shared" si="10"/>
        <v>499</v>
      </c>
      <c r="J214">
        <f t="shared" si="11"/>
        <v>166.33333333333334</v>
      </c>
    </row>
    <row r="215" spans="1:10" x14ac:dyDescent="0.25">
      <c r="A215">
        <v>403</v>
      </c>
      <c r="B215" t="s">
        <v>409</v>
      </c>
      <c r="C215">
        <v>6</v>
      </c>
      <c r="D215">
        <v>5</v>
      </c>
      <c r="E215">
        <v>1</v>
      </c>
      <c r="F215">
        <v>4</v>
      </c>
      <c r="G215">
        <v>1000</v>
      </c>
      <c r="H215">
        <f t="shared" si="9"/>
        <v>200</v>
      </c>
      <c r="I215">
        <f t="shared" si="10"/>
        <v>1000</v>
      </c>
      <c r="J215">
        <f t="shared" si="11"/>
        <v>250</v>
      </c>
    </row>
    <row r="216" spans="1:10" x14ac:dyDescent="0.25">
      <c r="A216">
        <v>167</v>
      </c>
      <c r="B216" t="s">
        <v>173</v>
      </c>
      <c r="C216">
        <v>11</v>
      </c>
      <c r="D216">
        <v>6</v>
      </c>
      <c r="E216">
        <v>1</v>
      </c>
      <c r="F216">
        <v>5</v>
      </c>
      <c r="G216">
        <v>1019</v>
      </c>
      <c r="H216">
        <f t="shared" si="9"/>
        <v>169.83333333333334</v>
      </c>
      <c r="I216">
        <f t="shared" si="10"/>
        <v>1019</v>
      </c>
      <c r="J216">
        <f t="shared" si="11"/>
        <v>203.8</v>
      </c>
    </row>
    <row r="217" spans="1:10" x14ac:dyDescent="0.25">
      <c r="A217">
        <v>246</v>
      </c>
      <c r="B217" t="s">
        <v>252</v>
      </c>
      <c r="C217">
        <v>7</v>
      </c>
      <c r="D217">
        <v>4</v>
      </c>
      <c r="E217">
        <v>0</v>
      </c>
      <c r="F217">
        <v>4</v>
      </c>
      <c r="G217">
        <v>1024</v>
      </c>
      <c r="H217">
        <f t="shared" si="9"/>
        <v>256</v>
      </c>
      <c r="I217" t="e">
        <f t="shared" si="10"/>
        <v>#DIV/0!</v>
      </c>
      <c r="J217">
        <f t="shared" si="11"/>
        <v>256</v>
      </c>
    </row>
    <row r="218" spans="1:10" x14ac:dyDescent="0.25">
      <c r="A218">
        <v>70</v>
      </c>
      <c r="B218" t="s">
        <v>76</v>
      </c>
      <c r="C218">
        <v>5</v>
      </c>
      <c r="D218">
        <v>3</v>
      </c>
      <c r="E218">
        <v>0</v>
      </c>
      <c r="F218">
        <v>3</v>
      </c>
      <c r="G218">
        <v>1039</v>
      </c>
      <c r="H218">
        <f t="shared" si="9"/>
        <v>346.33333333333331</v>
      </c>
      <c r="I218" t="e">
        <f t="shared" si="10"/>
        <v>#DIV/0!</v>
      </c>
      <c r="J218">
        <f t="shared" si="11"/>
        <v>346.33333333333331</v>
      </c>
    </row>
    <row r="219" spans="1:10" x14ac:dyDescent="0.25">
      <c r="A219">
        <v>264</v>
      </c>
      <c r="B219" t="s">
        <v>270</v>
      </c>
      <c r="C219">
        <v>11</v>
      </c>
      <c r="D219">
        <v>8</v>
      </c>
      <c r="E219">
        <v>3</v>
      </c>
      <c r="F219">
        <v>5</v>
      </c>
      <c r="G219">
        <v>1056</v>
      </c>
      <c r="H219">
        <f t="shared" si="9"/>
        <v>132</v>
      </c>
      <c r="I219">
        <f t="shared" si="10"/>
        <v>352</v>
      </c>
      <c r="J219">
        <f t="shared" si="11"/>
        <v>211.2</v>
      </c>
    </row>
    <row r="220" spans="1:10" x14ac:dyDescent="0.25">
      <c r="A220">
        <v>373</v>
      </c>
      <c r="B220" t="s">
        <v>379</v>
      </c>
      <c r="C220">
        <v>22</v>
      </c>
      <c r="D220">
        <v>4</v>
      </c>
      <c r="E220">
        <v>0</v>
      </c>
      <c r="F220">
        <v>4</v>
      </c>
      <c r="G220">
        <v>1066</v>
      </c>
      <c r="H220">
        <f t="shared" si="9"/>
        <v>266.5</v>
      </c>
      <c r="I220" t="e">
        <f t="shared" si="10"/>
        <v>#DIV/0!</v>
      </c>
      <c r="J220">
        <f t="shared" si="11"/>
        <v>266.5</v>
      </c>
    </row>
    <row r="221" spans="1:10" x14ac:dyDescent="0.25">
      <c r="A221">
        <v>35</v>
      </c>
      <c r="B221" t="s">
        <v>41</v>
      </c>
      <c r="C221">
        <v>11</v>
      </c>
      <c r="D221">
        <v>8</v>
      </c>
      <c r="E221">
        <v>2</v>
      </c>
      <c r="F221">
        <v>6</v>
      </c>
      <c r="G221">
        <v>1079</v>
      </c>
      <c r="H221">
        <f t="shared" si="9"/>
        <v>134.875</v>
      </c>
      <c r="I221">
        <f t="shared" si="10"/>
        <v>539.5</v>
      </c>
      <c r="J221">
        <f t="shared" si="11"/>
        <v>179.83333333333334</v>
      </c>
    </row>
    <row r="222" spans="1:10" x14ac:dyDescent="0.25">
      <c r="A222">
        <v>44</v>
      </c>
      <c r="B222" t="s">
        <v>50</v>
      </c>
      <c r="C222">
        <v>9</v>
      </c>
      <c r="D222">
        <v>8</v>
      </c>
      <c r="E222">
        <v>1</v>
      </c>
      <c r="F222">
        <v>7</v>
      </c>
      <c r="G222">
        <v>1106</v>
      </c>
      <c r="H222">
        <f t="shared" si="9"/>
        <v>138.25</v>
      </c>
      <c r="I222">
        <f t="shared" si="10"/>
        <v>1106</v>
      </c>
      <c r="J222">
        <f t="shared" si="11"/>
        <v>158</v>
      </c>
    </row>
    <row r="223" spans="1:10" x14ac:dyDescent="0.25">
      <c r="A223">
        <v>398</v>
      </c>
      <c r="B223" t="s">
        <v>404</v>
      </c>
      <c r="C223">
        <v>10</v>
      </c>
      <c r="D223">
        <v>5</v>
      </c>
      <c r="E223">
        <v>0</v>
      </c>
      <c r="F223">
        <v>5</v>
      </c>
      <c r="G223">
        <v>1109</v>
      </c>
      <c r="H223">
        <f t="shared" si="9"/>
        <v>221.8</v>
      </c>
      <c r="I223" t="e">
        <f t="shared" si="10"/>
        <v>#DIV/0!</v>
      </c>
      <c r="J223">
        <f t="shared" si="11"/>
        <v>221.8</v>
      </c>
    </row>
    <row r="224" spans="1:10" x14ac:dyDescent="0.25">
      <c r="A224">
        <v>239</v>
      </c>
      <c r="B224" t="s">
        <v>245</v>
      </c>
      <c r="C224">
        <v>14</v>
      </c>
      <c r="D224">
        <v>9</v>
      </c>
      <c r="E224">
        <v>3</v>
      </c>
      <c r="F224">
        <v>6</v>
      </c>
      <c r="G224">
        <v>1114</v>
      </c>
      <c r="H224">
        <f t="shared" si="9"/>
        <v>123.77777777777777</v>
      </c>
      <c r="I224">
        <f t="shared" si="10"/>
        <v>371.33333333333331</v>
      </c>
      <c r="J224">
        <f t="shared" si="11"/>
        <v>185.66666666666666</v>
      </c>
    </row>
    <row r="225" spans="1:10" x14ac:dyDescent="0.25">
      <c r="A225">
        <v>344</v>
      </c>
      <c r="B225" t="s">
        <v>350</v>
      </c>
      <c r="C225">
        <v>5</v>
      </c>
      <c r="D225">
        <v>2</v>
      </c>
      <c r="E225">
        <v>0</v>
      </c>
      <c r="F225">
        <v>2</v>
      </c>
      <c r="G225">
        <v>1123</v>
      </c>
      <c r="H225">
        <f t="shared" si="9"/>
        <v>561.5</v>
      </c>
      <c r="I225" t="e">
        <f t="shared" si="10"/>
        <v>#DIV/0!</v>
      </c>
      <c r="J225">
        <f t="shared" si="11"/>
        <v>561.5</v>
      </c>
    </row>
    <row r="226" spans="1:10" x14ac:dyDescent="0.25">
      <c r="A226">
        <v>45</v>
      </c>
      <c r="B226" t="s">
        <v>51</v>
      </c>
      <c r="C226">
        <v>8</v>
      </c>
      <c r="D226">
        <v>6</v>
      </c>
      <c r="E226">
        <v>0</v>
      </c>
      <c r="F226">
        <v>6</v>
      </c>
      <c r="G226">
        <v>1126</v>
      </c>
      <c r="H226">
        <f t="shared" si="9"/>
        <v>187.66666666666666</v>
      </c>
      <c r="I226" t="e">
        <f t="shared" si="10"/>
        <v>#DIV/0!</v>
      </c>
      <c r="J226">
        <f t="shared" si="11"/>
        <v>187.66666666666666</v>
      </c>
    </row>
    <row r="227" spans="1:10" x14ac:dyDescent="0.25">
      <c r="A227">
        <v>104</v>
      </c>
      <c r="B227" t="s">
        <v>110</v>
      </c>
      <c r="C227">
        <v>11</v>
      </c>
      <c r="D227">
        <v>5</v>
      </c>
      <c r="E227">
        <v>2</v>
      </c>
      <c r="F227">
        <v>3</v>
      </c>
      <c r="G227">
        <v>1134</v>
      </c>
      <c r="H227">
        <f t="shared" si="9"/>
        <v>226.8</v>
      </c>
      <c r="I227">
        <f t="shared" si="10"/>
        <v>567</v>
      </c>
      <c r="J227">
        <f t="shared" si="11"/>
        <v>378</v>
      </c>
    </row>
    <row r="228" spans="1:10" x14ac:dyDescent="0.25">
      <c r="A228">
        <v>238</v>
      </c>
      <c r="B228" t="s">
        <v>244</v>
      </c>
      <c r="C228">
        <v>8</v>
      </c>
      <c r="D228">
        <v>7</v>
      </c>
      <c r="E228">
        <v>3</v>
      </c>
      <c r="F228">
        <v>4</v>
      </c>
      <c r="G228">
        <v>1137</v>
      </c>
      <c r="H228">
        <f t="shared" si="9"/>
        <v>162.42857142857142</v>
      </c>
      <c r="I228">
        <f t="shared" si="10"/>
        <v>379</v>
      </c>
      <c r="J228">
        <f t="shared" si="11"/>
        <v>284.25</v>
      </c>
    </row>
    <row r="229" spans="1:10" x14ac:dyDescent="0.25">
      <c r="A229">
        <v>372</v>
      </c>
      <c r="B229" t="s">
        <v>378</v>
      </c>
      <c r="C229">
        <v>7</v>
      </c>
      <c r="D229">
        <v>4</v>
      </c>
      <c r="E229">
        <v>2</v>
      </c>
      <c r="F229">
        <v>2</v>
      </c>
      <c r="G229">
        <v>1187</v>
      </c>
      <c r="H229">
        <f t="shared" si="9"/>
        <v>296.75</v>
      </c>
      <c r="I229">
        <f t="shared" si="10"/>
        <v>593.5</v>
      </c>
      <c r="J229">
        <f t="shared" si="11"/>
        <v>593.5</v>
      </c>
    </row>
    <row r="230" spans="1:10" x14ac:dyDescent="0.25">
      <c r="A230">
        <v>364</v>
      </c>
      <c r="B230" t="s">
        <v>370</v>
      </c>
      <c r="C230">
        <v>6</v>
      </c>
      <c r="D230">
        <v>4</v>
      </c>
      <c r="E230">
        <v>1</v>
      </c>
      <c r="F230">
        <v>3</v>
      </c>
      <c r="G230">
        <v>1198</v>
      </c>
      <c r="H230">
        <f t="shared" si="9"/>
        <v>299.5</v>
      </c>
      <c r="I230">
        <f t="shared" si="10"/>
        <v>1198</v>
      </c>
      <c r="J230">
        <f t="shared" si="11"/>
        <v>399.33333333333331</v>
      </c>
    </row>
    <row r="231" spans="1:10" x14ac:dyDescent="0.25">
      <c r="A231">
        <v>266</v>
      </c>
      <c r="B231" t="s">
        <v>272</v>
      </c>
      <c r="C231">
        <v>7</v>
      </c>
      <c r="D231">
        <v>4</v>
      </c>
      <c r="E231">
        <v>2</v>
      </c>
      <c r="F231">
        <v>2</v>
      </c>
      <c r="G231">
        <v>1208</v>
      </c>
      <c r="H231">
        <f t="shared" si="9"/>
        <v>302</v>
      </c>
      <c r="I231">
        <f t="shared" si="10"/>
        <v>604</v>
      </c>
      <c r="J231">
        <f t="shared" si="11"/>
        <v>604</v>
      </c>
    </row>
    <row r="232" spans="1:10" x14ac:dyDescent="0.25">
      <c r="A232">
        <v>263</v>
      </c>
      <c r="B232" t="s">
        <v>269</v>
      </c>
      <c r="C232">
        <v>16</v>
      </c>
      <c r="D232">
        <v>11</v>
      </c>
      <c r="E232">
        <v>1</v>
      </c>
      <c r="F232">
        <v>10</v>
      </c>
      <c r="G232">
        <v>1222</v>
      </c>
      <c r="H232">
        <f t="shared" si="9"/>
        <v>111.09090909090909</v>
      </c>
      <c r="I232">
        <f t="shared" si="10"/>
        <v>1222</v>
      </c>
      <c r="J232">
        <f t="shared" si="11"/>
        <v>122.2</v>
      </c>
    </row>
    <row r="233" spans="1:10" x14ac:dyDescent="0.25">
      <c r="A233">
        <v>394</v>
      </c>
      <c r="B233" t="s">
        <v>400</v>
      </c>
      <c r="C233">
        <v>18</v>
      </c>
      <c r="D233">
        <v>13</v>
      </c>
      <c r="E233">
        <v>6</v>
      </c>
      <c r="F233">
        <v>7</v>
      </c>
      <c r="G233">
        <v>1283</v>
      </c>
      <c r="H233">
        <f t="shared" si="9"/>
        <v>98.692307692307693</v>
      </c>
      <c r="I233">
        <f t="shared" si="10"/>
        <v>213.83333333333334</v>
      </c>
      <c r="J233">
        <f t="shared" si="11"/>
        <v>183.28571428571428</v>
      </c>
    </row>
    <row r="234" spans="1:10" x14ac:dyDescent="0.25">
      <c r="A234">
        <v>125</v>
      </c>
      <c r="B234" t="s">
        <v>131</v>
      </c>
      <c r="C234">
        <v>12</v>
      </c>
      <c r="D234">
        <v>8</v>
      </c>
      <c r="E234">
        <v>0</v>
      </c>
      <c r="F234">
        <v>8</v>
      </c>
      <c r="G234">
        <v>1290</v>
      </c>
      <c r="H234">
        <f t="shared" si="9"/>
        <v>161.25</v>
      </c>
      <c r="I234" t="e">
        <f t="shared" si="10"/>
        <v>#DIV/0!</v>
      </c>
      <c r="J234">
        <f t="shared" si="11"/>
        <v>161.25</v>
      </c>
    </row>
    <row r="235" spans="1:10" x14ac:dyDescent="0.25">
      <c r="A235">
        <v>249</v>
      </c>
      <c r="B235" t="s">
        <v>255</v>
      </c>
      <c r="C235">
        <v>7</v>
      </c>
      <c r="D235">
        <v>3</v>
      </c>
      <c r="E235">
        <v>2</v>
      </c>
      <c r="F235">
        <v>1</v>
      </c>
      <c r="G235">
        <v>1342</v>
      </c>
      <c r="H235">
        <f t="shared" si="9"/>
        <v>447.33333333333331</v>
      </c>
      <c r="I235">
        <f t="shared" si="10"/>
        <v>671</v>
      </c>
      <c r="J235">
        <f t="shared" si="11"/>
        <v>1342</v>
      </c>
    </row>
    <row r="236" spans="1:10" x14ac:dyDescent="0.25">
      <c r="A236">
        <v>63</v>
      </c>
      <c r="B236" t="s">
        <v>69</v>
      </c>
      <c r="C236">
        <v>13</v>
      </c>
      <c r="D236">
        <v>2</v>
      </c>
      <c r="E236">
        <v>1</v>
      </c>
      <c r="F236">
        <v>1</v>
      </c>
      <c r="G236">
        <v>1369</v>
      </c>
      <c r="H236">
        <f t="shared" si="9"/>
        <v>684.5</v>
      </c>
      <c r="I236">
        <f t="shared" si="10"/>
        <v>1369</v>
      </c>
      <c r="J236">
        <f t="shared" si="11"/>
        <v>1369</v>
      </c>
    </row>
    <row r="237" spans="1:10" x14ac:dyDescent="0.25">
      <c r="A237">
        <v>225</v>
      </c>
      <c r="B237" t="s">
        <v>231</v>
      </c>
      <c r="C237">
        <v>17</v>
      </c>
      <c r="D237">
        <v>13</v>
      </c>
      <c r="E237">
        <v>4</v>
      </c>
      <c r="F237">
        <v>9</v>
      </c>
      <c r="G237">
        <v>1372</v>
      </c>
      <c r="H237">
        <f t="shared" si="9"/>
        <v>105.53846153846153</v>
      </c>
      <c r="I237">
        <f t="shared" si="10"/>
        <v>343</v>
      </c>
      <c r="J237">
        <f t="shared" si="11"/>
        <v>152.44444444444446</v>
      </c>
    </row>
    <row r="238" spans="1:10" x14ac:dyDescent="0.25">
      <c r="A238">
        <v>26</v>
      </c>
      <c r="B238" t="s">
        <v>32</v>
      </c>
      <c r="C238">
        <v>9</v>
      </c>
      <c r="D238">
        <v>7</v>
      </c>
      <c r="E238">
        <v>2</v>
      </c>
      <c r="F238">
        <v>5</v>
      </c>
      <c r="G238">
        <v>1397</v>
      </c>
      <c r="H238">
        <f t="shared" si="9"/>
        <v>199.57142857142858</v>
      </c>
      <c r="I238">
        <f t="shared" si="10"/>
        <v>698.5</v>
      </c>
      <c r="J238">
        <f t="shared" si="11"/>
        <v>279.39999999999998</v>
      </c>
    </row>
    <row r="239" spans="1:10" x14ac:dyDescent="0.25">
      <c r="A239">
        <v>357</v>
      </c>
      <c r="B239" t="s">
        <v>363</v>
      </c>
      <c r="C239">
        <v>15</v>
      </c>
      <c r="D239">
        <v>8</v>
      </c>
      <c r="E239">
        <v>1</v>
      </c>
      <c r="F239">
        <v>7</v>
      </c>
      <c r="G239">
        <v>1404</v>
      </c>
      <c r="H239">
        <f t="shared" si="9"/>
        <v>175.5</v>
      </c>
      <c r="I239">
        <f t="shared" si="10"/>
        <v>1404</v>
      </c>
      <c r="J239">
        <f t="shared" si="11"/>
        <v>200.57142857142858</v>
      </c>
    </row>
    <row r="240" spans="1:10" x14ac:dyDescent="0.25">
      <c r="A240">
        <v>115</v>
      </c>
      <c r="B240" t="s">
        <v>121</v>
      </c>
      <c r="C240">
        <v>11</v>
      </c>
      <c r="D240">
        <v>7</v>
      </c>
      <c r="E240">
        <v>2</v>
      </c>
      <c r="F240">
        <v>5</v>
      </c>
      <c r="G240">
        <v>1405</v>
      </c>
      <c r="H240">
        <f t="shared" si="9"/>
        <v>200.71428571428572</v>
      </c>
      <c r="I240">
        <f t="shared" si="10"/>
        <v>702.5</v>
      </c>
      <c r="J240">
        <f t="shared" si="11"/>
        <v>281</v>
      </c>
    </row>
    <row r="241" spans="1:10" x14ac:dyDescent="0.25">
      <c r="A241">
        <v>282</v>
      </c>
      <c r="B241" t="s">
        <v>288</v>
      </c>
      <c r="C241">
        <v>5</v>
      </c>
      <c r="D241">
        <v>4</v>
      </c>
      <c r="E241">
        <v>0</v>
      </c>
      <c r="F241">
        <v>4</v>
      </c>
      <c r="G241">
        <v>1418</v>
      </c>
      <c r="H241">
        <f t="shared" si="9"/>
        <v>354.5</v>
      </c>
      <c r="I241" t="e">
        <f t="shared" si="10"/>
        <v>#DIV/0!</v>
      </c>
      <c r="J241">
        <f t="shared" si="11"/>
        <v>354.5</v>
      </c>
    </row>
    <row r="242" spans="1:10" x14ac:dyDescent="0.25">
      <c r="A242">
        <v>242</v>
      </c>
      <c r="B242" t="s">
        <v>248</v>
      </c>
      <c r="C242">
        <v>13</v>
      </c>
      <c r="D242">
        <v>7</v>
      </c>
      <c r="E242">
        <v>2</v>
      </c>
      <c r="F242">
        <v>5</v>
      </c>
      <c r="G242">
        <v>1443</v>
      </c>
      <c r="H242">
        <f t="shared" si="9"/>
        <v>206.14285714285714</v>
      </c>
      <c r="I242">
        <f t="shared" si="10"/>
        <v>721.5</v>
      </c>
      <c r="J242">
        <f t="shared" si="11"/>
        <v>288.60000000000002</v>
      </c>
    </row>
    <row r="243" spans="1:10" x14ac:dyDescent="0.25">
      <c r="A243">
        <v>205</v>
      </c>
      <c r="B243" t="s">
        <v>211</v>
      </c>
      <c r="C243">
        <v>14</v>
      </c>
      <c r="D243">
        <v>3</v>
      </c>
      <c r="E243">
        <v>1</v>
      </c>
      <c r="F243">
        <v>2</v>
      </c>
      <c r="G243">
        <v>1449</v>
      </c>
      <c r="H243">
        <f t="shared" si="9"/>
        <v>483</v>
      </c>
      <c r="I243">
        <f t="shared" si="10"/>
        <v>1449</v>
      </c>
      <c r="J243">
        <f t="shared" si="11"/>
        <v>724.5</v>
      </c>
    </row>
    <row r="244" spans="1:10" x14ac:dyDescent="0.25">
      <c r="A244">
        <v>89</v>
      </c>
      <c r="B244" t="s">
        <v>95</v>
      </c>
      <c r="C244">
        <v>19</v>
      </c>
      <c r="D244">
        <v>12</v>
      </c>
      <c r="E244">
        <v>7</v>
      </c>
      <c r="F244">
        <v>5</v>
      </c>
      <c r="G244">
        <v>1532</v>
      </c>
      <c r="H244">
        <f t="shared" si="9"/>
        <v>127.66666666666667</v>
      </c>
      <c r="I244">
        <f t="shared" si="10"/>
        <v>218.85714285714286</v>
      </c>
      <c r="J244">
        <f t="shared" si="11"/>
        <v>306.39999999999998</v>
      </c>
    </row>
    <row r="245" spans="1:10" x14ac:dyDescent="0.25">
      <c r="A245">
        <v>293</v>
      </c>
      <c r="B245" t="s">
        <v>299</v>
      </c>
      <c r="C245">
        <v>11</v>
      </c>
      <c r="D245">
        <v>5</v>
      </c>
      <c r="E245">
        <v>1</v>
      </c>
      <c r="F245">
        <v>4</v>
      </c>
      <c r="G245">
        <v>1535</v>
      </c>
      <c r="H245">
        <f t="shared" si="9"/>
        <v>307</v>
      </c>
      <c r="I245">
        <f t="shared" si="10"/>
        <v>1535</v>
      </c>
      <c r="J245">
        <f t="shared" si="11"/>
        <v>383.75</v>
      </c>
    </row>
    <row r="246" spans="1:10" x14ac:dyDescent="0.25">
      <c r="A246">
        <v>342</v>
      </c>
      <c r="B246" t="s">
        <v>348</v>
      </c>
      <c r="C246">
        <v>8</v>
      </c>
      <c r="D246">
        <v>6</v>
      </c>
      <c r="E246">
        <v>0</v>
      </c>
      <c r="F246">
        <v>6</v>
      </c>
      <c r="G246">
        <v>1556</v>
      </c>
      <c r="H246">
        <f t="shared" si="9"/>
        <v>259.33333333333331</v>
      </c>
      <c r="I246" t="e">
        <f t="shared" si="10"/>
        <v>#DIV/0!</v>
      </c>
      <c r="J246">
        <f t="shared" si="11"/>
        <v>259.33333333333331</v>
      </c>
    </row>
    <row r="247" spans="1:10" x14ac:dyDescent="0.25">
      <c r="A247">
        <v>338</v>
      </c>
      <c r="B247" t="s">
        <v>344</v>
      </c>
      <c r="C247">
        <v>21</v>
      </c>
      <c r="D247">
        <v>9</v>
      </c>
      <c r="E247">
        <v>8</v>
      </c>
      <c r="F247">
        <v>1</v>
      </c>
      <c r="G247">
        <v>1560</v>
      </c>
      <c r="H247">
        <f t="shared" si="9"/>
        <v>173.33333333333334</v>
      </c>
      <c r="I247">
        <f t="shared" si="10"/>
        <v>195</v>
      </c>
      <c r="J247">
        <f t="shared" si="11"/>
        <v>1560</v>
      </c>
    </row>
    <row r="248" spans="1:10" x14ac:dyDescent="0.25">
      <c r="A248">
        <v>71</v>
      </c>
      <c r="B248" t="s">
        <v>77</v>
      </c>
      <c r="C248">
        <v>17</v>
      </c>
      <c r="D248">
        <v>15</v>
      </c>
      <c r="E248">
        <v>2</v>
      </c>
      <c r="F248">
        <v>13</v>
      </c>
      <c r="G248">
        <v>1576</v>
      </c>
      <c r="H248">
        <f t="shared" si="9"/>
        <v>105.06666666666666</v>
      </c>
      <c r="I248">
        <f t="shared" si="10"/>
        <v>788</v>
      </c>
      <c r="J248">
        <f t="shared" si="11"/>
        <v>121.23076923076923</v>
      </c>
    </row>
    <row r="249" spans="1:10" x14ac:dyDescent="0.25">
      <c r="A249">
        <v>195</v>
      </c>
      <c r="B249" t="s">
        <v>201</v>
      </c>
      <c r="C249">
        <v>13</v>
      </c>
      <c r="D249">
        <v>10</v>
      </c>
      <c r="E249">
        <v>6</v>
      </c>
      <c r="F249">
        <v>4</v>
      </c>
      <c r="G249">
        <v>1584</v>
      </c>
      <c r="H249">
        <f t="shared" si="9"/>
        <v>158.4</v>
      </c>
      <c r="I249">
        <f t="shared" si="10"/>
        <v>264</v>
      </c>
      <c r="J249">
        <f t="shared" si="11"/>
        <v>396</v>
      </c>
    </row>
    <row r="250" spans="1:10" x14ac:dyDescent="0.25">
      <c r="A250">
        <v>339</v>
      </c>
      <c r="B250" t="s">
        <v>345</v>
      </c>
      <c r="C250">
        <v>7</v>
      </c>
      <c r="D250">
        <v>4</v>
      </c>
      <c r="E250">
        <v>4</v>
      </c>
      <c r="F250">
        <v>0</v>
      </c>
      <c r="G250">
        <v>1620</v>
      </c>
      <c r="H250">
        <f t="shared" si="9"/>
        <v>405</v>
      </c>
      <c r="I250">
        <f t="shared" si="10"/>
        <v>405</v>
      </c>
      <c r="J250" t="e">
        <f t="shared" si="11"/>
        <v>#DIV/0!</v>
      </c>
    </row>
    <row r="251" spans="1:10" x14ac:dyDescent="0.25">
      <c r="A251">
        <v>207</v>
      </c>
      <c r="B251" t="s">
        <v>213</v>
      </c>
      <c r="C251">
        <v>11</v>
      </c>
      <c r="D251">
        <v>9</v>
      </c>
      <c r="E251">
        <v>4</v>
      </c>
      <c r="F251">
        <v>5</v>
      </c>
      <c r="G251">
        <v>1625</v>
      </c>
      <c r="H251">
        <f t="shared" si="9"/>
        <v>180.55555555555554</v>
      </c>
      <c r="I251">
        <f t="shared" si="10"/>
        <v>406.25</v>
      </c>
      <c r="J251">
        <f t="shared" si="11"/>
        <v>325</v>
      </c>
    </row>
    <row r="252" spans="1:10" x14ac:dyDescent="0.25">
      <c r="A252">
        <v>316</v>
      </c>
      <c r="B252" t="s">
        <v>322</v>
      </c>
      <c r="C252">
        <v>11</v>
      </c>
      <c r="D252">
        <v>7</v>
      </c>
      <c r="E252">
        <v>2</v>
      </c>
      <c r="F252">
        <v>5</v>
      </c>
      <c r="G252">
        <v>1654</v>
      </c>
      <c r="H252">
        <f t="shared" si="9"/>
        <v>236.28571428571428</v>
      </c>
      <c r="I252">
        <f t="shared" si="10"/>
        <v>827</v>
      </c>
      <c r="J252">
        <f t="shared" si="11"/>
        <v>330.8</v>
      </c>
    </row>
    <row r="253" spans="1:10" x14ac:dyDescent="0.25">
      <c r="A253">
        <v>366</v>
      </c>
      <c r="B253" t="s">
        <v>372</v>
      </c>
      <c r="C253">
        <v>3</v>
      </c>
      <c r="D253">
        <v>2</v>
      </c>
      <c r="E253">
        <v>0</v>
      </c>
      <c r="F253">
        <v>2</v>
      </c>
      <c r="G253">
        <v>1656</v>
      </c>
      <c r="H253">
        <f t="shared" si="9"/>
        <v>828</v>
      </c>
      <c r="I253" t="e">
        <f t="shared" si="10"/>
        <v>#DIV/0!</v>
      </c>
      <c r="J253">
        <f t="shared" si="11"/>
        <v>828</v>
      </c>
    </row>
    <row r="254" spans="1:10" x14ac:dyDescent="0.25">
      <c r="A254">
        <v>298</v>
      </c>
      <c r="B254" t="s">
        <v>304</v>
      </c>
      <c r="C254">
        <v>11</v>
      </c>
      <c r="D254">
        <v>7</v>
      </c>
      <c r="E254">
        <v>2</v>
      </c>
      <c r="F254">
        <v>5</v>
      </c>
      <c r="G254">
        <v>1672</v>
      </c>
      <c r="H254">
        <f t="shared" si="9"/>
        <v>238.85714285714286</v>
      </c>
      <c r="I254">
        <f t="shared" si="10"/>
        <v>836</v>
      </c>
      <c r="J254">
        <f t="shared" si="11"/>
        <v>334.4</v>
      </c>
    </row>
    <row r="255" spans="1:10" x14ac:dyDescent="0.25">
      <c r="A255">
        <v>340</v>
      </c>
      <c r="B255" t="s">
        <v>346</v>
      </c>
      <c r="C255">
        <v>18</v>
      </c>
      <c r="D255">
        <v>5</v>
      </c>
      <c r="E255">
        <v>2</v>
      </c>
      <c r="F255">
        <v>3</v>
      </c>
      <c r="G255">
        <v>1679</v>
      </c>
      <c r="H255">
        <f t="shared" si="9"/>
        <v>335.8</v>
      </c>
      <c r="I255">
        <f t="shared" si="10"/>
        <v>839.5</v>
      </c>
      <c r="J255">
        <f t="shared" si="11"/>
        <v>559.66666666666663</v>
      </c>
    </row>
    <row r="256" spans="1:10" x14ac:dyDescent="0.25">
      <c r="A256">
        <v>25</v>
      </c>
      <c r="B256" t="s">
        <v>31</v>
      </c>
      <c r="C256">
        <v>6</v>
      </c>
      <c r="D256">
        <v>5</v>
      </c>
      <c r="E256">
        <v>3</v>
      </c>
      <c r="F256">
        <v>2</v>
      </c>
      <c r="G256">
        <v>1687</v>
      </c>
      <c r="H256">
        <f t="shared" si="9"/>
        <v>337.4</v>
      </c>
      <c r="I256">
        <f t="shared" si="10"/>
        <v>562.33333333333337</v>
      </c>
      <c r="J256">
        <f t="shared" si="11"/>
        <v>843.5</v>
      </c>
    </row>
    <row r="257" spans="1:10" x14ac:dyDescent="0.25">
      <c r="A257">
        <v>272</v>
      </c>
      <c r="B257" t="s">
        <v>278</v>
      </c>
      <c r="C257">
        <v>12</v>
      </c>
      <c r="D257">
        <v>11</v>
      </c>
      <c r="E257">
        <v>1</v>
      </c>
      <c r="F257">
        <v>10</v>
      </c>
      <c r="G257">
        <v>1693</v>
      </c>
      <c r="H257">
        <f t="shared" si="9"/>
        <v>153.90909090909091</v>
      </c>
      <c r="I257">
        <f t="shared" si="10"/>
        <v>1693</v>
      </c>
      <c r="J257">
        <f t="shared" si="11"/>
        <v>169.3</v>
      </c>
    </row>
    <row r="258" spans="1:10" x14ac:dyDescent="0.25">
      <c r="A258">
        <v>240</v>
      </c>
      <c r="B258" t="s">
        <v>246</v>
      </c>
      <c r="C258">
        <v>9</v>
      </c>
      <c r="D258">
        <v>6</v>
      </c>
      <c r="E258">
        <v>0</v>
      </c>
      <c r="F258">
        <v>6</v>
      </c>
      <c r="G258">
        <v>1707</v>
      </c>
      <c r="H258">
        <f t="shared" ref="H258:H321" si="12">G258/D258</f>
        <v>284.5</v>
      </c>
      <c r="I258" t="e">
        <f t="shared" ref="I258:I321" si="13">G258/E258</f>
        <v>#DIV/0!</v>
      </c>
      <c r="J258">
        <f t="shared" ref="J258:J321" si="14">G258/F258</f>
        <v>284.5</v>
      </c>
    </row>
    <row r="259" spans="1:10" x14ac:dyDescent="0.25">
      <c r="A259">
        <v>250</v>
      </c>
      <c r="B259" t="s">
        <v>256</v>
      </c>
      <c r="C259">
        <v>10</v>
      </c>
      <c r="D259">
        <v>4</v>
      </c>
      <c r="E259">
        <v>1</v>
      </c>
      <c r="F259">
        <v>3</v>
      </c>
      <c r="G259">
        <v>1710</v>
      </c>
      <c r="H259">
        <f t="shared" si="12"/>
        <v>427.5</v>
      </c>
      <c r="I259">
        <f t="shared" si="13"/>
        <v>1710</v>
      </c>
      <c r="J259">
        <f t="shared" si="14"/>
        <v>570</v>
      </c>
    </row>
    <row r="260" spans="1:10" x14ac:dyDescent="0.25">
      <c r="A260">
        <v>10</v>
      </c>
      <c r="B260" t="s">
        <v>16</v>
      </c>
      <c r="C260">
        <v>10</v>
      </c>
      <c r="D260">
        <v>9</v>
      </c>
      <c r="E260">
        <v>3</v>
      </c>
      <c r="F260">
        <v>6</v>
      </c>
      <c r="G260">
        <v>1733</v>
      </c>
      <c r="H260">
        <f t="shared" si="12"/>
        <v>192.55555555555554</v>
      </c>
      <c r="I260">
        <f t="shared" si="13"/>
        <v>577.66666666666663</v>
      </c>
      <c r="J260">
        <f t="shared" si="14"/>
        <v>288.83333333333331</v>
      </c>
    </row>
    <row r="261" spans="1:10" x14ac:dyDescent="0.25">
      <c r="A261">
        <v>159</v>
      </c>
      <c r="B261" t="s">
        <v>165</v>
      </c>
      <c r="C261">
        <v>3</v>
      </c>
      <c r="D261">
        <v>2</v>
      </c>
      <c r="E261">
        <v>1</v>
      </c>
      <c r="F261">
        <v>1</v>
      </c>
      <c r="G261">
        <v>1746</v>
      </c>
      <c r="H261">
        <f t="shared" si="12"/>
        <v>873</v>
      </c>
      <c r="I261">
        <f t="shared" si="13"/>
        <v>1746</v>
      </c>
      <c r="J261">
        <f t="shared" si="14"/>
        <v>1746</v>
      </c>
    </row>
    <row r="262" spans="1:10" x14ac:dyDescent="0.25">
      <c r="A262">
        <v>14</v>
      </c>
      <c r="B262" t="s">
        <v>20</v>
      </c>
      <c r="C262">
        <v>4</v>
      </c>
      <c r="D262">
        <v>3</v>
      </c>
      <c r="E262">
        <v>2</v>
      </c>
      <c r="F262">
        <v>1</v>
      </c>
      <c r="G262">
        <v>1757</v>
      </c>
      <c r="H262">
        <f t="shared" si="12"/>
        <v>585.66666666666663</v>
      </c>
      <c r="I262">
        <f t="shared" si="13"/>
        <v>878.5</v>
      </c>
      <c r="J262">
        <f t="shared" si="14"/>
        <v>1757</v>
      </c>
    </row>
    <row r="263" spans="1:10" x14ac:dyDescent="0.25">
      <c r="A263">
        <v>294</v>
      </c>
      <c r="B263" t="s">
        <v>300</v>
      </c>
      <c r="C263">
        <v>12</v>
      </c>
      <c r="D263">
        <v>9</v>
      </c>
      <c r="E263">
        <v>2</v>
      </c>
      <c r="F263">
        <v>7</v>
      </c>
      <c r="G263">
        <v>1770</v>
      </c>
      <c r="H263">
        <f t="shared" si="12"/>
        <v>196.66666666666666</v>
      </c>
      <c r="I263">
        <f t="shared" si="13"/>
        <v>885</v>
      </c>
      <c r="J263">
        <f t="shared" si="14"/>
        <v>252.85714285714286</v>
      </c>
    </row>
    <row r="264" spans="1:10" x14ac:dyDescent="0.25">
      <c r="A264">
        <v>172</v>
      </c>
      <c r="B264" t="s">
        <v>178</v>
      </c>
      <c r="C264">
        <v>11</v>
      </c>
      <c r="D264">
        <v>8</v>
      </c>
      <c r="E264">
        <v>2</v>
      </c>
      <c r="F264">
        <v>6</v>
      </c>
      <c r="G264">
        <v>1796</v>
      </c>
      <c r="H264">
        <f t="shared" si="12"/>
        <v>224.5</v>
      </c>
      <c r="I264">
        <f t="shared" si="13"/>
        <v>898</v>
      </c>
      <c r="J264">
        <f t="shared" si="14"/>
        <v>299.33333333333331</v>
      </c>
    </row>
    <row r="265" spans="1:10" x14ac:dyDescent="0.25">
      <c r="A265">
        <v>109</v>
      </c>
      <c r="B265" t="s">
        <v>115</v>
      </c>
      <c r="C265">
        <v>18</v>
      </c>
      <c r="D265">
        <v>9</v>
      </c>
      <c r="E265">
        <v>3</v>
      </c>
      <c r="F265">
        <v>6</v>
      </c>
      <c r="G265">
        <v>1813</v>
      </c>
      <c r="H265">
        <f t="shared" si="12"/>
        <v>201.44444444444446</v>
      </c>
      <c r="I265">
        <f t="shared" si="13"/>
        <v>604.33333333333337</v>
      </c>
      <c r="J265">
        <f t="shared" si="14"/>
        <v>302.16666666666669</v>
      </c>
    </row>
    <row r="266" spans="1:10" x14ac:dyDescent="0.25">
      <c r="A266">
        <v>143</v>
      </c>
      <c r="B266" t="s">
        <v>149</v>
      </c>
      <c r="C266">
        <v>12</v>
      </c>
      <c r="D266">
        <v>4</v>
      </c>
      <c r="E266">
        <v>2</v>
      </c>
      <c r="F266">
        <v>2</v>
      </c>
      <c r="G266">
        <v>1853</v>
      </c>
      <c r="H266">
        <f t="shared" si="12"/>
        <v>463.25</v>
      </c>
      <c r="I266">
        <f t="shared" si="13"/>
        <v>926.5</v>
      </c>
      <c r="J266">
        <f t="shared" si="14"/>
        <v>926.5</v>
      </c>
    </row>
    <row r="267" spans="1:10" x14ac:dyDescent="0.25">
      <c r="A267">
        <v>197</v>
      </c>
      <c r="B267" t="s">
        <v>203</v>
      </c>
      <c r="C267">
        <v>2</v>
      </c>
      <c r="D267">
        <v>1</v>
      </c>
      <c r="E267">
        <v>0</v>
      </c>
      <c r="F267">
        <v>1</v>
      </c>
      <c r="G267">
        <v>1860</v>
      </c>
      <c r="H267">
        <f t="shared" si="12"/>
        <v>1860</v>
      </c>
      <c r="I267" t="e">
        <f t="shared" si="13"/>
        <v>#DIV/0!</v>
      </c>
      <c r="J267">
        <f t="shared" si="14"/>
        <v>1860</v>
      </c>
    </row>
    <row r="268" spans="1:10" x14ac:dyDescent="0.25">
      <c r="A268">
        <v>300</v>
      </c>
      <c r="B268" t="s">
        <v>306</v>
      </c>
      <c r="C268">
        <v>7</v>
      </c>
      <c r="D268">
        <v>6</v>
      </c>
      <c r="E268">
        <v>4</v>
      </c>
      <c r="F268">
        <v>2</v>
      </c>
      <c r="G268">
        <v>1860</v>
      </c>
      <c r="H268">
        <f t="shared" si="12"/>
        <v>310</v>
      </c>
      <c r="I268">
        <f t="shared" si="13"/>
        <v>465</v>
      </c>
      <c r="J268">
        <f t="shared" si="14"/>
        <v>930</v>
      </c>
    </row>
    <row r="269" spans="1:10" x14ac:dyDescent="0.25">
      <c r="A269">
        <v>62</v>
      </c>
      <c r="B269" t="s">
        <v>68</v>
      </c>
      <c r="C269">
        <v>13</v>
      </c>
      <c r="D269">
        <v>12</v>
      </c>
      <c r="E269">
        <v>5</v>
      </c>
      <c r="F269">
        <v>7</v>
      </c>
      <c r="G269">
        <v>1888</v>
      </c>
      <c r="H269">
        <f t="shared" si="12"/>
        <v>157.33333333333334</v>
      </c>
      <c r="I269">
        <f t="shared" si="13"/>
        <v>377.6</v>
      </c>
      <c r="J269">
        <f t="shared" si="14"/>
        <v>269.71428571428572</v>
      </c>
    </row>
    <row r="270" spans="1:10" x14ac:dyDescent="0.25">
      <c r="A270">
        <v>306</v>
      </c>
      <c r="B270" t="s">
        <v>312</v>
      </c>
      <c r="C270">
        <v>11</v>
      </c>
      <c r="D270">
        <v>7</v>
      </c>
      <c r="E270">
        <v>1</v>
      </c>
      <c r="F270">
        <v>6</v>
      </c>
      <c r="G270">
        <v>1892</v>
      </c>
      <c r="H270">
        <f t="shared" si="12"/>
        <v>270.28571428571428</v>
      </c>
      <c r="I270">
        <f t="shared" si="13"/>
        <v>1892</v>
      </c>
      <c r="J270">
        <f t="shared" si="14"/>
        <v>315.33333333333331</v>
      </c>
    </row>
    <row r="271" spans="1:10" x14ac:dyDescent="0.25">
      <c r="A271">
        <v>233</v>
      </c>
      <c r="B271" t="s">
        <v>239</v>
      </c>
      <c r="C271">
        <v>14</v>
      </c>
      <c r="D271">
        <v>11</v>
      </c>
      <c r="E271">
        <v>1</v>
      </c>
      <c r="F271">
        <v>10</v>
      </c>
      <c r="G271">
        <v>1917</v>
      </c>
      <c r="H271">
        <f t="shared" si="12"/>
        <v>174.27272727272728</v>
      </c>
      <c r="I271">
        <f t="shared" si="13"/>
        <v>1917</v>
      </c>
      <c r="J271">
        <f t="shared" si="14"/>
        <v>191.7</v>
      </c>
    </row>
    <row r="272" spans="1:10" x14ac:dyDescent="0.25">
      <c r="A272">
        <v>257</v>
      </c>
      <c r="B272" t="s">
        <v>263</v>
      </c>
      <c r="C272">
        <v>11</v>
      </c>
      <c r="D272">
        <v>5</v>
      </c>
      <c r="E272">
        <v>0</v>
      </c>
      <c r="F272">
        <v>5</v>
      </c>
      <c r="G272">
        <v>1946</v>
      </c>
      <c r="H272">
        <f t="shared" si="12"/>
        <v>389.2</v>
      </c>
      <c r="I272" t="e">
        <f t="shared" si="13"/>
        <v>#DIV/0!</v>
      </c>
      <c r="J272">
        <f t="shared" si="14"/>
        <v>389.2</v>
      </c>
    </row>
    <row r="273" spans="1:10" x14ac:dyDescent="0.25">
      <c r="A273">
        <v>278</v>
      </c>
      <c r="B273" t="s">
        <v>284</v>
      </c>
      <c r="C273">
        <v>17</v>
      </c>
      <c r="D273">
        <v>7</v>
      </c>
      <c r="E273">
        <v>3</v>
      </c>
      <c r="F273">
        <v>4</v>
      </c>
      <c r="G273">
        <v>1958</v>
      </c>
      <c r="H273">
        <f t="shared" si="12"/>
        <v>279.71428571428572</v>
      </c>
      <c r="I273">
        <f t="shared" si="13"/>
        <v>652.66666666666663</v>
      </c>
      <c r="J273">
        <f t="shared" si="14"/>
        <v>489.5</v>
      </c>
    </row>
    <row r="274" spans="1:10" x14ac:dyDescent="0.25">
      <c r="A274">
        <v>154</v>
      </c>
      <c r="B274" t="s">
        <v>160</v>
      </c>
      <c r="C274">
        <v>6</v>
      </c>
      <c r="D274">
        <v>5</v>
      </c>
      <c r="E274">
        <v>0</v>
      </c>
      <c r="F274">
        <v>5</v>
      </c>
      <c r="G274">
        <v>1981</v>
      </c>
      <c r="H274">
        <f t="shared" si="12"/>
        <v>396.2</v>
      </c>
      <c r="I274" t="e">
        <f t="shared" si="13"/>
        <v>#DIV/0!</v>
      </c>
      <c r="J274">
        <f t="shared" si="14"/>
        <v>396.2</v>
      </c>
    </row>
    <row r="275" spans="1:10" x14ac:dyDescent="0.25">
      <c r="A275">
        <v>12</v>
      </c>
      <c r="B275" t="s">
        <v>18</v>
      </c>
      <c r="C275">
        <v>12</v>
      </c>
      <c r="D275">
        <v>11</v>
      </c>
      <c r="E275">
        <v>5</v>
      </c>
      <c r="F275">
        <v>6</v>
      </c>
      <c r="G275">
        <v>1984</v>
      </c>
      <c r="H275">
        <f t="shared" si="12"/>
        <v>180.36363636363637</v>
      </c>
      <c r="I275">
        <f t="shared" si="13"/>
        <v>396.8</v>
      </c>
      <c r="J275">
        <f t="shared" si="14"/>
        <v>330.66666666666669</v>
      </c>
    </row>
    <row r="276" spans="1:10" x14ac:dyDescent="0.25">
      <c r="A276">
        <v>248</v>
      </c>
      <c r="B276" t="s">
        <v>254</v>
      </c>
      <c r="C276">
        <v>8</v>
      </c>
      <c r="D276">
        <v>3</v>
      </c>
      <c r="E276">
        <v>1</v>
      </c>
      <c r="F276">
        <v>2</v>
      </c>
      <c r="G276">
        <v>1992</v>
      </c>
      <c r="H276">
        <f t="shared" si="12"/>
        <v>664</v>
      </c>
      <c r="I276">
        <f t="shared" si="13"/>
        <v>1992</v>
      </c>
      <c r="J276">
        <f t="shared" si="14"/>
        <v>996</v>
      </c>
    </row>
    <row r="277" spans="1:10" x14ac:dyDescent="0.25">
      <c r="A277">
        <v>140</v>
      </c>
      <c r="B277" t="s">
        <v>146</v>
      </c>
      <c r="C277">
        <v>16</v>
      </c>
      <c r="D277">
        <v>15</v>
      </c>
      <c r="E277">
        <v>9</v>
      </c>
      <c r="F277">
        <v>6</v>
      </c>
      <c r="G277">
        <v>2001</v>
      </c>
      <c r="H277">
        <f t="shared" si="12"/>
        <v>133.4</v>
      </c>
      <c r="I277">
        <f t="shared" si="13"/>
        <v>222.33333333333334</v>
      </c>
      <c r="J277">
        <f t="shared" si="14"/>
        <v>333.5</v>
      </c>
    </row>
    <row r="278" spans="1:10" x14ac:dyDescent="0.25">
      <c r="A278">
        <v>67</v>
      </c>
      <c r="B278" t="s">
        <v>73</v>
      </c>
      <c r="C278">
        <v>3</v>
      </c>
      <c r="D278">
        <v>2</v>
      </c>
      <c r="E278">
        <v>1</v>
      </c>
      <c r="F278">
        <v>1</v>
      </c>
      <c r="G278">
        <v>2003</v>
      </c>
      <c r="H278">
        <f t="shared" si="12"/>
        <v>1001.5</v>
      </c>
      <c r="I278">
        <f t="shared" si="13"/>
        <v>2003</v>
      </c>
      <c r="J278">
        <f t="shared" si="14"/>
        <v>2003</v>
      </c>
    </row>
    <row r="279" spans="1:10" x14ac:dyDescent="0.25">
      <c r="A279">
        <v>48</v>
      </c>
      <c r="B279" t="s">
        <v>54</v>
      </c>
      <c r="C279">
        <v>15</v>
      </c>
      <c r="D279">
        <v>13</v>
      </c>
      <c r="E279">
        <v>2</v>
      </c>
      <c r="F279">
        <v>11</v>
      </c>
      <c r="G279">
        <v>2039</v>
      </c>
      <c r="H279">
        <f t="shared" si="12"/>
        <v>156.84615384615384</v>
      </c>
      <c r="I279">
        <f t="shared" si="13"/>
        <v>1019.5</v>
      </c>
      <c r="J279">
        <f t="shared" si="14"/>
        <v>185.36363636363637</v>
      </c>
    </row>
    <row r="280" spans="1:10" x14ac:dyDescent="0.25">
      <c r="A280">
        <v>310</v>
      </c>
      <c r="B280" t="s">
        <v>316</v>
      </c>
      <c r="C280">
        <v>9</v>
      </c>
      <c r="D280">
        <v>8</v>
      </c>
      <c r="E280">
        <v>3</v>
      </c>
      <c r="F280">
        <v>5</v>
      </c>
      <c r="G280">
        <v>2046</v>
      </c>
      <c r="H280">
        <f t="shared" si="12"/>
        <v>255.75</v>
      </c>
      <c r="I280">
        <f t="shared" si="13"/>
        <v>682</v>
      </c>
      <c r="J280">
        <f t="shared" si="14"/>
        <v>409.2</v>
      </c>
    </row>
    <row r="281" spans="1:10" x14ac:dyDescent="0.25">
      <c r="A281">
        <v>326</v>
      </c>
      <c r="B281" t="s">
        <v>332</v>
      </c>
      <c r="C281">
        <v>9</v>
      </c>
      <c r="D281">
        <v>2</v>
      </c>
      <c r="E281">
        <v>1</v>
      </c>
      <c r="F281">
        <v>1</v>
      </c>
      <c r="G281">
        <v>2052</v>
      </c>
      <c r="H281">
        <f t="shared" si="12"/>
        <v>1026</v>
      </c>
      <c r="I281">
        <f t="shared" si="13"/>
        <v>2052</v>
      </c>
      <c r="J281">
        <f t="shared" si="14"/>
        <v>2052</v>
      </c>
    </row>
    <row r="282" spans="1:10" x14ac:dyDescent="0.25">
      <c r="A282">
        <v>86</v>
      </c>
      <c r="B282" t="s">
        <v>92</v>
      </c>
      <c r="C282">
        <v>6</v>
      </c>
      <c r="D282">
        <v>4</v>
      </c>
      <c r="E282">
        <v>1</v>
      </c>
      <c r="F282">
        <v>3</v>
      </c>
      <c r="G282">
        <v>2061</v>
      </c>
      <c r="H282">
        <f t="shared" si="12"/>
        <v>515.25</v>
      </c>
      <c r="I282">
        <f t="shared" si="13"/>
        <v>2061</v>
      </c>
      <c r="J282">
        <f t="shared" si="14"/>
        <v>687</v>
      </c>
    </row>
    <row r="283" spans="1:10" x14ac:dyDescent="0.25">
      <c r="A283">
        <v>259</v>
      </c>
      <c r="B283" t="s">
        <v>265</v>
      </c>
      <c r="C283">
        <v>10</v>
      </c>
      <c r="D283">
        <v>5</v>
      </c>
      <c r="E283">
        <v>0</v>
      </c>
      <c r="F283">
        <v>5</v>
      </c>
      <c r="G283">
        <v>2070</v>
      </c>
      <c r="H283">
        <f t="shared" si="12"/>
        <v>414</v>
      </c>
      <c r="I283" t="e">
        <f t="shared" si="13"/>
        <v>#DIV/0!</v>
      </c>
      <c r="J283">
        <f t="shared" si="14"/>
        <v>414</v>
      </c>
    </row>
    <row r="284" spans="1:10" x14ac:dyDescent="0.25">
      <c r="A284">
        <v>232</v>
      </c>
      <c r="B284" t="s">
        <v>238</v>
      </c>
      <c r="C284">
        <v>21</v>
      </c>
      <c r="D284">
        <v>20</v>
      </c>
      <c r="E284">
        <v>8</v>
      </c>
      <c r="F284">
        <v>12</v>
      </c>
      <c r="G284">
        <v>2072</v>
      </c>
      <c r="H284">
        <f t="shared" si="12"/>
        <v>103.6</v>
      </c>
      <c r="I284">
        <f t="shared" si="13"/>
        <v>259</v>
      </c>
      <c r="J284">
        <f t="shared" si="14"/>
        <v>172.66666666666666</v>
      </c>
    </row>
    <row r="285" spans="1:10" x14ac:dyDescent="0.25">
      <c r="A285">
        <v>88</v>
      </c>
      <c r="B285" t="s">
        <v>94</v>
      </c>
      <c r="C285">
        <v>21</v>
      </c>
      <c r="D285">
        <v>17</v>
      </c>
      <c r="E285">
        <v>2</v>
      </c>
      <c r="F285">
        <v>15</v>
      </c>
      <c r="G285">
        <v>2098</v>
      </c>
      <c r="H285">
        <f t="shared" si="12"/>
        <v>123.41176470588235</v>
      </c>
      <c r="I285">
        <f t="shared" si="13"/>
        <v>1049</v>
      </c>
      <c r="J285">
        <f t="shared" si="14"/>
        <v>139.86666666666667</v>
      </c>
    </row>
    <row r="286" spans="1:10" x14ac:dyDescent="0.25">
      <c r="A286">
        <v>157</v>
      </c>
      <c r="B286" t="s">
        <v>163</v>
      </c>
      <c r="C286">
        <v>12</v>
      </c>
      <c r="D286">
        <v>10</v>
      </c>
      <c r="E286">
        <v>2</v>
      </c>
      <c r="F286">
        <v>8</v>
      </c>
      <c r="G286">
        <v>2104</v>
      </c>
      <c r="H286">
        <f t="shared" si="12"/>
        <v>210.4</v>
      </c>
      <c r="I286">
        <f t="shared" si="13"/>
        <v>1052</v>
      </c>
      <c r="J286">
        <f t="shared" si="14"/>
        <v>263</v>
      </c>
    </row>
    <row r="287" spans="1:10" x14ac:dyDescent="0.25">
      <c r="A287">
        <v>97</v>
      </c>
      <c r="B287" t="s">
        <v>103</v>
      </c>
      <c r="C287">
        <v>22</v>
      </c>
      <c r="D287">
        <v>5</v>
      </c>
      <c r="E287">
        <v>1</v>
      </c>
      <c r="F287">
        <v>4</v>
      </c>
      <c r="G287">
        <v>2111</v>
      </c>
      <c r="H287">
        <f t="shared" si="12"/>
        <v>422.2</v>
      </c>
      <c r="I287">
        <f t="shared" si="13"/>
        <v>2111</v>
      </c>
      <c r="J287">
        <f t="shared" si="14"/>
        <v>527.75</v>
      </c>
    </row>
    <row r="288" spans="1:10" x14ac:dyDescent="0.25">
      <c r="A288">
        <v>287</v>
      </c>
      <c r="B288" t="s">
        <v>293</v>
      </c>
      <c r="C288">
        <v>10</v>
      </c>
      <c r="D288">
        <v>3</v>
      </c>
      <c r="E288">
        <v>1</v>
      </c>
      <c r="F288">
        <v>2</v>
      </c>
      <c r="G288">
        <v>2141</v>
      </c>
      <c r="H288">
        <f t="shared" si="12"/>
        <v>713.66666666666663</v>
      </c>
      <c r="I288">
        <f t="shared" si="13"/>
        <v>2141</v>
      </c>
      <c r="J288">
        <f t="shared" si="14"/>
        <v>1070.5</v>
      </c>
    </row>
    <row r="289" spans="1:10" x14ac:dyDescent="0.25">
      <c r="A289">
        <v>59</v>
      </c>
      <c r="B289" t="s">
        <v>65</v>
      </c>
      <c r="C289">
        <v>4</v>
      </c>
      <c r="D289">
        <v>3</v>
      </c>
      <c r="E289">
        <v>1</v>
      </c>
      <c r="F289">
        <v>2</v>
      </c>
      <c r="G289">
        <v>2150</v>
      </c>
      <c r="H289">
        <f t="shared" si="12"/>
        <v>716.66666666666663</v>
      </c>
      <c r="I289">
        <f t="shared" si="13"/>
        <v>2150</v>
      </c>
      <c r="J289">
        <f t="shared" si="14"/>
        <v>1075</v>
      </c>
    </row>
    <row r="290" spans="1:10" x14ac:dyDescent="0.25">
      <c r="A290">
        <v>183</v>
      </c>
      <c r="B290" t="s">
        <v>189</v>
      </c>
      <c r="C290">
        <v>13</v>
      </c>
      <c r="D290">
        <v>7</v>
      </c>
      <c r="E290">
        <v>1</v>
      </c>
      <c r="F290">
        <v>6</v>
      </c>
      <c r="G290">
        <v>2165</v>
      </c>
      <c r="H290">
        <f t="shared" si="12"/>
        <v>309.28571428571428</v>
      </c>
      <c r="I290">
        <f t="shared" si="13"/>
        <v>2165</v>
      </c>
      <c r="J290">
        <f t="shared" si="14"/>
        <v>360.83333333333331</v>
      </c>
    </row>
    <row r="291" spans="1:10" x14ac:dyDescent="0.25">
      <c r="A291">
        <v>220</v>
      </c>
      <c r="B291" t="s">
        <v>226</v>
      </c>
      <c r="C291">
        <v>14</v>
      </c>
      <c r="D291">
        <v>8</v>
      </c>
      <c r="E291">
        <v>1</v>
      </c>
      <c r="F291">
        <v>7</v>
      </c>
      <c r="G291">
        <v>2191</v>
      </c>
      <c r="H291">
        <f t="shared" si="12"/>
        <v>273.875</v>
      </c>
      <c r="I291">
        <f t="shared" si="13"/>
        <v>2191</v>
      </c>
      <c r="J291">
        <f t="shared" si="14"/>
        <v>313</v>
      </c>
    </row>
    <row r="292" spans="1:10" x14ac:dyDescent="0.25">
      <c r="A292">
        <v>292</v>
      </c>
      <c r="B292" t="s">
        <v>298</v>
      </c>
      <c r="C292">
        <v>4</v>
      </c>
      <c r="D292">
        <v>3</v>
      </c>
      <c r="E292">
        <v>0</v>
      </c>
      <c r="F292">
        <v>3</v>
      </c>
      <c r="G292">
        <v>2201</v>
      </c>
      <c r="H292">
        <f t="shared" si="12"/>
        <v>733.66666666666663</v>
      </c>
      <c r="I292" t="e">
        <f t="shared" si="13"/>
        <v>#DIV/0!</v>
      </c>
      <c r="J292">
        <f t="shared" si="14"/>
        <v>733.66666666666663</v>
      </c>
    </row>
    <row r="293" spans="1:10" x14ac:dyDescent="0.25">
      <c r="A293">
        <v>176</v>
      </c>
      <c r="B293" t="s">
        <v>182</v>
      </c>
      <c r="C293">
        <v>16</v>
      </c>
      <c r="D293">
        <v>1</v>
      </c>
      <c r="E293">
        <v>0</v>
      </c>
      <c r="F293">
        <v>1</v>
      </c>
      <c r="G293">
        <v>2205</v>
      </c>
      <c r="H293">
        <f t="shared" si="12"/>
        <v>2205</v>
      </c>
      <c r="I293" t="e">
        <f t="shared" si="13"/>
        <v>#DIV/0!</v>
      </c>
      <c r="J293">
        <f t="shared" si="14"/>
        <v>2205</v>
      </c>
    </row>
    <row r="294" spans="1:10" x14ac:dyDescent="0.25">
      <c r="A294">
        <v>130</v>
      </c>
      <c r="B294" t="s">
        <v>136</v>
      </c>
      <c r="C294">
        <v>10</v>
      </c>
      <c r="D294">
        <v>6</v>
      </c>
      <c r="E294">
        <v>0</v>
      </c>
      <c r="F294">
        <v>6</v>
      </c>
      <c r="G294">
        <v>2214</v>
      </c>
      <c r="H294">
        <f t="shared" si="12"/>
        <v>369</v>
      </c>
      <c r="I294" t="e">
        <f t="shared" si="13"/>
        <v>#DIV/0!</v>
      </c>
      <c r="J294">
        <f t="shared" si="14"/>
        <v>369</v>
      </c>
    </row>
    <row r="295" spans="1:10" x14ac:dyDescent="0.25">
      <c r="A295">
        <v>211</v>
      </c>
      <c r="B295" t="s">
        <v>217</v>
      </c>
      <c r="C295">
        <v>29</v>
      </c>
      <c r="D295">
        <v>25</v>
      </c>
      <c r="E295">
        <v>8</v>
      </c>
      <c r="F295">
        <v>17</v>
      </c>
      <c r="G295">
        <v>2238</v>
      </c>
      <c r="H295">
        <f t="shared" si="12"/>
        <v>89.52</v>
      </c>
      <c r="I295">
        <f t="shared" si="13"/>
        <v>279.75</v>
      </c>
      <c r="J295">
        <f t="shared" si="14"/>
        <v>131.64705882352942</v>
      </c>
    </row>
    <row r="296" spans="1:10" x14ac:dyDescent="0.25">
      <c r="A296">
        <v>186</v>
      </c>
      <c r="B296" t="s">
        <v>192</v>
      </c>
      <c r="C296">
        <v>11</v>
      </c>
      <c r="D296">
        <v>5</v>
      </c>
      <c r="E296">
        <v>0</v>
      </c>
      <c r="F296">
        <v>5</v>
      </c>
      <c r="G296">
        <v>2255</v>
      </c>
      <c r="H296">
        <f t="shared" si="12"/>
        <v>451</v>
      </c>
      <c r="I296" t="e">
        <f t="shared" si="13"/>
        <v>#DIV/0!</v>
      </c>
      <c r="J296">
        <f t="shared" si="14"/>
        <v>451</v>
      </c>
    </row>
    <row r="297" spans="1:10" x14ac:dyDescent="0.25">
      <c r="A297">
        <v>217</v>
      </c>
      <c r="B297" t="s">
        <v>223</v>
      </c>
      <c r="C297">
        <v>17</v>
      </c>
      <c r="D297">
        <v>15</v>
      </c>
      <c r="E297">
        <v>5</v>
      </c>
      <c r="F297">
        <v>10</v>
      </c>
      <c r="G297">
        <v>2259</v>
      </c>
      <c r="H297">
        <f t="shared" si="12"/>
        <v>150.6</v>
      </c>
      <c r="I297">
        <f t="shared" si="13"/>
        <v>451.8</v>
      </c>
      <c r="J297">
        <f t="shared" si="14"/>
        <v>225.9</v>
      </c>
    </row>
    <row r="298" spans="1:10" x14ac:dyDescent="0.25">
      <c r="A298">
        <v>281</v>
      </c>
      <c r="B298" t="s">
        <v>287</v>
      </c>
      <c r="C298">
        <v>18</v>
      </c>
      <c r="D298">
        <v>17</v>
      </c>
      <c r="E298">
        <v>5</v>
      </c>
      <c r="F298">
        <v>12</v>
      </c>
      <c r="G298">
        <v>2288</v>
      </c>
      <c r="H298">
        <f t="shared" si="12"/>
        <v>134.58823529411765</v>
      </c>
      <c r="I298">
        <f t="shared" si="13"/>
        <v>457.6</v>
      </c>
      <c r="J298">
        <f t="shared" si="14"/>
        <v>190.66666666666666</v>
      </c>
    </row>
    <row r="299" spans="1:10" x14ac:dyDescent="0.25">
      <c r="A299">
        <v>304</v>
      </c>
      <c r="B299" t="s">
        <v>310</v>
      </c>
      <c r="C299">
        <v>10</v>
      </c>
      <c r="D299">
        <v>6</v>
      </c>
      <c r="E299">
        <v>1</v>
      </c>
      <c r="F299">
        <v>5</v>
      </c>
      <c r="G299">
        <v>2292</v>
      </c>
      <c r="H299">
        <f t="shared" si="12"/>
        <v>382</v>
      </c>
      <c r="I299">
        <f t="shared" si="13"/>
        <v>2292</v>
      </c>
      <c r="J299">
        <f t="shared" si="14"/>
        <v>458.4</v>
      </c>
    </row>
    <row r="300" spans="1:10" x14ac:dyDescent="0.25">
      <c r="A300">
        <v>245</v>
      </c>
      <c r="B300" t="s">
        <v>251</v>
      </c>
      <c r="C300">
        <v>14</v>
      </c>
      <c r="D300">
        <v>12</v>
      </c>
      <c r="E300">
        <v>4</v>
      </c>
      <c r="F300">
        <v>8</v>
      </c>
      <c r="G300">
        <v>2297</v>
      </c>
      <c r="H300">
        <f t="shared" si="12"/>
        <v>191.41666666666666</v>
      </c>
      <c r="I300">
        <f t="shared" si="13"/>
        <v>574.25</v>
      </c>
      <c r="J300">
        <f t="shared" si="14"/>
        <v>287.125</v>
      </c>
    </row>
    <row r="301" spans="1:10" x14ac:dyDescent="0.25">
      <c r="A301">
        <v>221</v>
      </c>
      <c r="B301" t="s">
        <v>227</v>
      </c>
      <c r="C301">
        <v>5</v>
      </c>
      <c r="D301">
        <v>4</v>
      </c>
      <c r="E301">
        <v>0</v>
      </c>
      <c r="F301">
        <v>4</v>
      </c>
      <c r="G301">
        <v>2301</v>
      </c>
      <c r="H301">
        <f t="shared" si="12"/>
        <v>575.25</v>
      </c>
      <c r="I301" t="e">
        <f t="shared" si="13"/>
        <v>#DIV/0!</v>
      </c>
      <c r="J301">
        <f t="shared" si="14"/>
        <v>575.25</v>
      </c>
    </row>
    <row r="302" spans="1:10" x14ac:dyDescent="0.25">
      <c r="A302">
        <v>256</v>
      </c>
      <c r="B302" t="s">
        <v>262</v>
      </c>
      <c r="C302">
        <v>8</v>
      </c>
      <c r="D302">
        <v>7</v>
      </c>
      <c r="E302">
        <v>4</v>
      </c>
      <c r="F302">
        <v>3</v>
      </c>
      <c r="G302">
        <v>2303</v>
      </c>
      <c r="H302">
        <f t="shared" si="12"/>
        <v>329</v>
      </c>
      <c r="I302">
        <f t="shared" si="13"/>
        <v>575.75</v>
      </c>
      <c r="J302">
        <f t="shared" si="14"/>
        <v>767.66666666666663</v>
      </c>
    </row>
    <row r="303" spans="1:10" x14ac:dyDescent="0.25">
      <c r="A303">
        <v>289</v>
      </c>
      <c r="B303" t="s">
        <v>295</v>
      </c>
      <c r="C303">
        <v>4</v>
      </c>
      <c r="D303">
        <v>3</v>
      </c>
      <c r="E303">
        <v>2</v>
      </c>
      <c r="F303">
        <v>1</v>
      </c>
      <c r="G303">
        <v>2305</v>
      </c>
      <c r="H303">
        <f t="shared" si="12"/>
        <v>768.33333333333337</v>
      </c>
      <c r="I303">
        <f t="shared" si="13"/>
        <v>1152.5</v>
      </c>
      <c r="J303">
        <f t="shared" si="14"/>
        <v>2305</v>
      </c>
    </row>
    <row r="304" spans="1:10" x14ac:dyDescent="0.25">
      <c r="A304">
        <v>61</v>
      </c>
      <c r="B304" t="s">
        <v>67</v>
      </c>
      <c r="C304">
        <v>7</v>
      </c>
      <c r="D304">
        <v>5</v>
      </c>
      <c r="E304">
        <v>2</v>
      </c>
      <c r="F304">
        <v>3</v>
      </c>
      <c r="G304">
        <v>2316</v>
      </c>
      <c r="H304">
        <f t="shared" si="12"/>
        <v>463.2</v>
      </c>
      <c r="I304">
        <f t="shared" si="13"/>
        <v>1158</v>
      </c>
      <c r="J304">
        <f t="shared" si="14"/>
        <v>772</v>
      </c>
    </row>
    <row r="305" spans="1:10" x14ac:dyDescent="0.25">
      <c r="A305">
        <v>296</v>
      </c>
      <c r="B305" t="s">
        <v>302</v>
      </c>
      <c r="C305">
        <v>14</v>
      </c>
      <c r="D305">
        <v>6</v>
      </c>
      <c r="E305">
        <v>0</v>
      </c>
      <c r="F305">
        <v>6</v>
      </c>
      <c r="G305">
        <v>2318</v>
      </c>
      <c r="H305">
        <f t="shared" si="12"/>
        <v>386.33333333333331</v>
      </c>
      <c r="I305" t="e">
        <f t="shared" si="13"/>
        <v>#DIV/0!</v>
      </c>
      <c r="J305">
        <f t="shared" si="14"/>
        <v>386.33333333333331</v>
      </c>
    </row>
    <row r="306" spans="1:10" x14ac:dyDescent="0.25">
      <c r="A306">
        <v>324</v>
      </c>
      <c r="B306" t="s">
        <v>330</v>
      </c>
      <c r="C306">
        <v>10</v>
      </c>
      <c r="D306">
        <v>4</v>
      </c>
      <c r="E306">
        <v>0</v>
      </c>
      <c r="F306">
        <v>4</v>
      </c>
      <c r="G306">
        <v>2320</v>
      </c>
      <c r="H306">
        <f t="shared" si="12"/>
        <v>580</v>
      </c>
      <c r="I306" t="e">
        <f t="shared" si="13"/>
        <v>#DIV/0!</v>
      </c>
      <c r="J306">
        <f t="shared" si="14"/>
        <v>580</v>
      </c>
    </row>
    <row r="307" spans="1:10" x14ac:dyDescent="0.25">
      <c r="A307">
        <v>145</v>
      </c>
      <c r="B307" t="s">
        <v>151</v>
      </c>
      <c r="C307">
        <v>10</v>
      </c>
      <c r="D307">
        <v>4</v>
      </c>
      <c r="E307">
        <v>2</v>
      </c>
      <c r="F307">
        <v>2</v>
      </c>
      <c r="G307">
        <v>2327</v>
      </c>
      <c r="H307">
        <f t="shared" si="12"/>
        <v>581.75</v>
      </c>
      <c r="I307">
        <f t="shared" si="13"/>
        <v>1163.5</v>
      </c>
      <c r="J307">
        <f t="shared" si="14"/>
        <v>1163.5</v>
      </c>
    </row>
    <row r="308" spans="1:10" x14ac:dyDescent="0.25">
      <c r="A308">
        <v>305</v>
      </c>
      <c r="B308" t="s">
        <v>311</v>
      </c>
      <c r="C308">
        <v>16</v>
      </c>
      <c r="D308">
        <v>14</v>
      </c>
      <c r="E308">
        <v>4</v>
      </c>
      <c r="F308">
        <v>10</v>
      </c>
      <c r="G308">
        <v>2327</v>
      </c>
      <c r="H308">
        <f t="shared" si="12"/>
        <v>166.21428571428572</v>
      </c>
      <c r="I308">
        <f t="shared" si="13"/>
        <v>581.75</v>
      </c>
      <c r="J308">
        <f t="shared" si="14"/>
        <v>232.7</v>
      </c>
    </row>
    <row r="309" spans="1:10" x14ac:dyDescent="0.25">
      <c r="A309">
        <v>24</v>
      </c>
      <c r="B309" t="s">
        <v>30</v>
      </c>
      <c r="C309">
        <v>10</v>
      </c>
      <c r="D309">
        <v>8</v>
      </c>
      <c r="E309">
        <v>4</v>
      </c>
      <c r="F309">
        <v>4</v>
      </c>
      <c r="G309">
        <v>2330</v>
      </c>
      <c r="H309">
        <f t="shared" si="12"/>
        <v>291.25</v>
      </c>
      <c r="I309">
        <f t="shared" si="13"/>
        <v>582.5</v>
      </c>
      <c r="J309">
        <f t="shared" si="14"/>
        <v>582.5</v>
      </c>
    </row>
    <row r="310" spans="1:10" x14ac:dyDescent="0.25">
      <c r="A310">
        <v>151</v>
      </c>
      <c r="B310" t="s">
        <v>157</v>
      </c>
      <c r="C310">
        <v>14</v>
      </c>
      <c r="D310">
        <v>12</v>
      </c>
      <c r="E310">
        <v>3</v>
      </c>
      <c r="F310">
        <v>9</v>
      </c>
      <c r="G310">
        <v>2349</v>
      </c>
      <c r="H310">
        <f t="shared" si="12"/>
        <v>195.75</v>
      </c>
      <c r="I310">
        <f t="shared" si="13"/>
        <v>783</v>
      </c>
      <c r="J310">
        <f t="shared" si="14"/>
        <v>261</v>
      </c>
    </row>
    <row r="311" spans="1:10" x14ac:dyDescent="0.25">
      <c r="A311">
        <v>99</v>
      </c>
      <c r="B311" t="s">
        <v>105</v>
      </c>
      <c r="C311">
        <v>13</v>
      </c>
      <c r="D311">
        <v>11</v>
      </c>
      <c r="E311">
        <v>1</v>
      </c>
      <c r="F311">
        <v>10</v>
      </c>
      <c r="G311">
        <v>2357</v>
      </c>
      <c r="H311">
        <f t="shared" si="12"/>
        <v>214.27272727272728</v>
      </c>
      <c r="I311">
        <f t="shared" si="13"/>
        <v>2357</v>
      </c>
      <c r="J311">
        <f t="shared" si="14"/>
        <v>235.7</v>
      </c>
    </row>
    <row r="312" spans="1:10" x14ac:dyDescent="0.25">
      <c r="A312">
        <v>33</v>
      </c>
      <c r="B312" t="s">
        <v>39</v>
      </c>
      <c r="C312">
        <v>14</v>
      </c>
      <c r="D312">
        <v>11</v>
      </c>
      <c r="E312">
        <v>4</v>
      </c>
      <c r="F312">
        <v>7</v>
      </c>
      <c r="G312">
        <v>2390</v>
      </c>
      <c r="H312">
        <f t="shared" si="12"/>
        <v>217.27272727272728</v>
      </c>
      <c r="I312">
        <f t="shared" si="13"/>
        <v>597.5</v>
      </c>
      <c r="J312">
        <f t="shared" si="14"/>
        <v>341.42857142857144</v>
      </c>
    </row>
    <row r="313" spans="1:10" x14ac:dyDescent="0.25">
      <c r="A313">
        <v>158</v>
      </c>
      <c r="B313" t="s">
        <v>164</v>
      </c>
      <c r="C313">
        <v>7</v>
      </c>
      <c r="D313">
        <v>6</v>
      </c>
      <c r="E313">
        <v>2</v>
      </c>
      <c r="F313">
        <v>4</v>
      </c>
      <c r="G313">
        <v>2391</v>
      </c>
      <c r="H313">
        <f t="shared" si="12"/>
        <v>398.5</v>
      </c>
      <c r="I313">
        <f t="shared" si="13"/>
        <v>1195.5</v>
      </c>
      <c r="J313">
        <f t="shared" si="14"/>
        <v>597.75</v>
      </c>
    </row>
    <row r="314" spans="1:10" x14ac:dyDescent="0.25">
      <c r="A314">
        <v>269</v>
      </c>
      <c r="B314" t="s">
        <v>275</v>
      </c>
      <c r="C314">
        <v>16</v>
      </c>
      <c r="D314">
        <v>12</v>
      </c>
      <c r="E314">
        <v>3</v>
      </c>
      <c r="F314">
        <v>9</v>
      </c>
      <c r="G314">
        <v>2396</v>
      </c>
      <c r="H314">
        <f t="shared" si="12"/>
        <v>199.66666666666666</v>
      </c>
      <c r="I314">
        <f t="shared" si="13"/>
        <v>798.66666666666663</v>
      </c>
      <c r="J314">
        <f t="shared" si="14"/>
        <v>266.22222222222223</v>
      </c>
    </row>
    <row r="315" spans="1:10" x14ac:dyDescent="0.25">
      <c r="A315">
        <v>23</v>
      </c>
      <c r="B315" t="s">
        <v>29</v>
      </c>
      <c r="C315">
        <v>6</v>
      </c>
      <c r="D315">
        <v>5</v>
      </c>
      <c r="E315">
        <v>2</v>
      </c>
      <c r="F315">
        <v>3</v>
      </c>
      <c r="G315">
        <v>2420</v>
      </c>
      <c r="H315">
        <f t="shared" si="12"/>
        <v>484</v>
      </c>
      <c r="I315">
        <f t="shared" si="13"/>
        <v>1210</v>
      </c>
      <c r="J315">
        <f t="shared" si="14"/>
        <v>806.66666666666663</v>
      </c>
    </row>
    <row r="316" spans="1:10" x14ac:dyDescent="0.25">
      <c r="A316">
        <v>241</v>
      </c>
      <c r="B316" t="s">
        <v>247</v>
      </c>
      <c r="C316">
        <v>11</v>
      </c>
      <c r="D316">
        <v>4</v>
      </c>
      <c r="E316">
        <v>1</v>
      </c>
      <c r="F316">
        <v>3</v>
      </c>
      <c r="G316">
        <v>2454</v>
      </c>
      <c r="H316">
        <f t="shared" si="12"/>
        <v>613.5</v>
      </c>
      <c r="I316">
        <f t="shared" si="13"/>
        <v>2454</v>
      </c>
      <c r="J316">
        <f t="shared" si="14"/>
        <v>818</v>
      </c>
    </row>
    <row r="317" spans="1:10" x14ac:dyDescent="0.25">
      <c r="A317">
        <v>126</v>
      </c>
      <c r="B317" t="s">
        <v>132</v>
      </c>
      <c r="C317">
        <v>7</v>
      </c>
      <c r="D317">
        <v>5</v>
      </c>
      <c r="E317">
        <v>2</v>
      </c>
      <c r="F317">
        <v>3</v>
      </c>
      <c r="G317">
        <v>2455</v>
      </c>
      <c r="H317">
        <f t="shared" si="12"/>
        <v>491</v>
      </c>
      <c r="I317">
        <f t="shared" si="13"/>
        <v>1227.5</v>
      </c>
      <c r="J317">
        <f t="shared" si="14"/>
        <v>818.33333333333337</v>
      </c>
    </row>
    <row r="318" spans="1:10" x14ac:dyDescent="0.25">
      <c r="A318">
        <v>268</v>
      </c>
      <c r="B318" t="s">
        <v>274</v>
      </c>
      <c r="C318">
        <v>8</v>
      </c>
      <c r="D318">
        <v>6</v>
      </c>
      <c r="E318">
        <v>1</v>
      </c>
      <c r="F318">
        <v>5</v>
      </c>
      <c r="G318">
        <v>2460</v>
      </c>
      <c r="H318">
        <f t="shared" si="12"/>
        <v>410</v>
      </c>
      <c r="I318">
        <f t="shared" si="13"/>
        <v>2460</v>
      </c>
      <c r="J318">
        <f t="shared" si="14"/>
        <v>492</v>
      </c>
    </row>
    <row r="319" spans="1:10" x14ac:dyDescent="0.25">
      <c r="A319">
        <v>52</v>
      </c>
      <c r="B319" t="s">
        <v>58</v>
      </c>
      <c r="C319">
        <v>12</v>
      </c>
      <c r="D319">
        <v>11</v>
      </c>
      <c r="E319">
        <v>4</v>
      </c>
      <c r="F319">
        <v>7</v>
      </c>
      <c r="G319">
        <v>2477</v>
      </c>
      <c r="H319">
        <f t="shared" si="12"/>
        <v>225.18181818181819</v>
      </c>
      <c r="I319">
        <f t="shared" si="13"/>
        <v>619.25</v>
      </c>
      <c r="J319">
        <f t="shared" si="14"/>
        <v>353.85714285714283</v>
      </c>
    </row>
    <row r="320" spans="1:10" x14ac:dyDescent="0.25">
      <c r="A320">
        <v>78</v>
      </c>
      <c r="B320" t="s">
        <v>84</v>
      </c>
      <c r="C320">
        <v>11</v>
      </c>
      <c r="D320">
        <v>3</v>
      </c>
      <c r="E320">
        <v>0</v>
      </c>
      <c r="F320">
        <v>3</v>
      </c>
      <c r="G320">
        <v>2478</v>
      </c>
      <c r="H320">
        <f t="shared" si="12"/>
        <v>826</v>
      </c>
      <c r="I320" t="e">
        <f t="shared" si="13"/>
        <v>#DIV/0!</v>
      </c>
      <c r="J320">
        <f t="shared" si="14"/>
        <v>826</v>
      </c>
    </row>
    <row r="321" spans="1:10" x14ac:dyDescent="0.25">
      <c r="A321">
        <v>1</v>
      </c>
      <c r="B321" t="s">
        <v>7</v>
      </c>
      <c r="C321">
        <v>8</v>
      </c>
      <c r="D321">
        <v>6</v>
      </c>
      <c r="E321">
        <v>4</v>
      </c>
      <c r="F321">
        <v>2</v>
      </c>
      <c r="G321">
        <v>2490</v>
      </c>
      <c r="H321">
        <f t="shared" si="12"/>
        <v>415</v>
      </c>
      <c r="I321">
        <f t="shared" si="13"/>
        <v>622.5</v>
      </c>
      <c r="J321">
        <f t="shared" si="14"/>
        <v>1245</v>
      </c>
    </row>
    <row r="322" spans="1:10" x14ac:dyDescent="0.25">
      <c r="A322">
        <v>277</v>
      </c>
      <c r="B322" t="s">
        <v>283</v>
      </c>
      <c r="C322">
        <v>17</v>
      </c>
      <c r="D322">
        <v>12</v>
      </c>
      <c r="E322">
        <v>4</v>
      </c>
      <c r="F322">
        <v>8</v>
      </c>
      <c r="G322">
        <v>2512</v>
      </c>
      <c r="H322">
        <f t="shared" ref="H322:H385" si="15">G322/D322</f>
        <v>209.33333333333334</v>
      </c>
      <c r="I322">
        <f t="shared" ref="I322:I382" si="16">G322/E322</f>
        <v>628</v>
      </c>
      <c r="J322">
        <f t="shared" ref="J322:J382" si="17">G322/F322</f>
        <v>314</v>
      </c>
    </row>
    <row r="323" spans="1:10" x14ac:dyDescent="0.25">
      <c r="A323">
        <v>83</v>
      </c>
      <c r="B323" t="s">
        <v>89</v>
      </c>
      <c r="C323">
        <v>13</v>
      </c>
      <c r="D323">
        <v>11</v>
      </c>
      <c r="E323">
        <v>5</v>
      </c>
      <c r="F323">
        <v>6</v>
      </c>
      <c r="G323">
        <v>2544</v>
      </c>
      <c r="H323">
        <f t="shared" si="15"/>
        <v>231.27272727272728</v>
      </c>
      <c r="I323">
        <f t="shared" si="16"/>
        <v>508.8</v>
      </c>
      <c r="J323">
        <f t="shared" si="17"/>
        <v>424</v>
      </c>
    </row>
    <row r="324" spans="1:10" x14ac:dyDescent="0.25">
      <c r="A324">
        <v>155</v>
      </c>
      <c r="B324" t="s">
        <v>161</v>
      </c>
      <c r="C324">
        <v>10</v>
      </c>
      <c r="D324">
        <v>6</v>
      </c>
      <c r="E324">
        <v>2</v>
      </c>
      <c r="F324">
        <v>4</v>
      </c>
      <c r="G324">
        <v>2599</v>
      </c>
      <c r="H324">
        <f t="shared" si="15"/>
        <v>433.16666666666669</v>
      </c>
      <c r="I324">
        <f t="shared" si="16"/>
        <v>1299.5</v>
      </c>
      <c r="J324">
        <f t="shared" si="17"/>
        <v>649.75</v>
      </c>
    </row>
    <row r="325" spans="1:10" x14ac:dyDescent="0.25">
      <c r="A325">
        <v>9</v>
      </c>
      <c r="B325" t="s">
        <v>15</v>
      </c>
      <c r="C325">
        <v>9</v>
      </c>
      <c r="D325">
        <v>8</v>
      </c>
      <c r="E325">
        <v>5</v>
      </c>
      <c r="F325">
        <v>3</v>
      </c>
      <c r="G325">
        <v>2632</v>
      </c>
      <c r="H325">
        <f t="shared" si="15"/>
        <v>329</v>
      </c>
      <c r="I325">
        <f t="shared" si="16"/>
        <v>526.4</v>
      </c>
      <c r="J325">
        <f t="shared" si="17"/>
        <v>877.33333333333337</v>
      </c>
    </row>
    <row r="326" spans="1:10" x14ac:dyDescent="0.25">
      <c r="A326">
        <v>119</v>
      </c>
      <c r="B326" t="s">
        <v>125</v>
      </c>
      <c r="C326">
        <v>8</v>
      </c>
      <c r="D326">
        <v>6</v>
      </c>
      <c r="E326">
        <v>1</v>
      </c>
      <c r="F326">
        <v>5</v>
      </c>
      <c r="G326">
        <v>2634</v>
      </c>
      <c r="H326">
        <f t="shared" si="15"/>
        <v>439</v>
      </c>
      <c r="I326">
        <f t="shared" si="16"/>
        <v>2634</v>
      </c>
      <c r="J326">
        <f t="shared" si="17"/>
        <v>526.79999999999995</v>
      </c>
    </row>
    <row r="327" spans="1:10" x14ac:dyDescent="0.25">
      <c r="A327">
        <v>58</v>
      </c>
      <c r="B327" t="s">
        <v>64</v>
      </c>
      <c r="C327">
        <v>12</v>
      </c>
      <c r="D327">
        <v>11</v>
      </c>
      <c r="E327">
        <v>3</v>
      </c>
      <c r="F327">
        <v>8</v>
      </c>
      <c r="G327">
        <v>2645</v>
      </c>
      <c r="H327">
        <f t="shared" si="15"/>
        <v>240.45454545454547</v>
      </c>
      <c r="I327">
        <f t="shared" si="16"/>
        <v>881.66666666666663</v>
      </c>
      <c r="J327">
        <f t="shared" si="17"/>
        <v>330.625</v>
      </c>
    </row>
    <row r="328" spans="1:10" x14ac:dyDescent="0.25">
      <c r="A328">
        <v>215</v>
      </c>
      <c r="B328" t="s">
        <v>221</v>
      </c>
      <c r="C328">
        <v>13</v>
      </c>
      <c r="D328">
        <v>9</v>
      </c>
      <c r="E328">
        <v>2</v>
      </c>
      <c r="F328">
        <v>7</v>
      </c>
      <c r="G328">
        <v>2650</v>
      </c>
      <c r="H328">
        <f t="shared" si="15"/>
        <v>294.44444444444446</v>
      </c>
      <c r="I328">
        <f t="shared" si="16"/>
        <v>1325</v>
      </c>
      <c r="J328">
        <f t="shared" si="17"/>
        <v>378.57142857142856</v>
      </c>
    </row>
    <row r="329" spans="1:10" x14ac:dyDescent="0.25">
      <c r="A329">
        <v>34</v>
      </c>
      <c r="B329" t="s">
        <v>40</v>
      </c>
      <c r="C329">
        <v>18</v>
      </c>
      <c r="D329">
        <v>11</v>
      </c>
      <c r="E329">
        <v>1</v>
      </c>
      <c r="F329">
        <v>10</v>
      </c>
      <c r="G329">
        <v>2651</v>
      </c>
      <c r="H329">
        <f t="shared" si="15"/>
        <v>241</v>
      </c>
      <c r="I329">
        <f t="shared" si="16"/>
        <v>2651</v>
      </c>
      <c r="J329">
        <f t="shared" si="17"/>
        <v>265.10000000000002</v>
      </c>
    </row>
    <row r="330" spans="1:10" x14ac:dyDescent="0.25">
      <c r="A330">
        <v>64</v>
      </c>
      <c r="B330" t="s">
        <v>70</v>
      </c>
      <c r="C330">
        <v>8</v>
      </c>
      <c r="D330">
        <v>7</v>
      </c>
      <c r="E330">
        <v>1</v>
      </c>
      <c r="F330">
        <v>6</v>
      </c>
      <c r="G330">
        <v>2654</v>
      </c>
      <c r="H330">
        <f t="shared" si="15"/>
        <v>379.14285714285717</v>
      </c>
      <c r="I330">
        <f t="shared" si="16"/>
        <v>2654</v>
      </c>
      <c r="J330">
        <f t="shared" si="17"/>
        <v>442.33333333333331</v>
      </c>
    </row>
    <row r="331" spans="1:10" x14ac:dyDescent="0.25">
      <c r="A331">
        <v>56</v>
      </c>
      <c r="B331" t="s">
        <v>62</v>
      </c>
      <c r="C331">
        <v>7</v>
      </c>
      <c r="D331">
        <v>6</v>
      </c>
      <c r="E331">
        <v>4</v>
      </c>
      <c r="F331">
        <v>2</v>
      </c>
      <c r="G331">
        <v>2695</v>
      </c>
      <c r="H331">
        <f t="shared" si="15"/>
        <v>449.16666666666669</v>
      </c>
      <c r="I331">
        <f t="shared" si="16"/>
        <v>673.75</v>
      </c>
      <c r="J331">
        <f t="shared" si="17"/>
        <v>1347.5</v>
      </c>
    </row>
    <row r="332" spans="1:10" x14ac:dyDescent="0.25">
      <c r="A332">
        <v>255</v>
      </c>
      <c r="B332" t="s">
        <v>261</v>
      </c>
      <c r="C332">
        <v>7</v>
      </c>
      <c r="D332">
        <v>4</v>
      </c>
      <c r="E332">
        <v>2</v>
      </c>
      <c r="F332">
        <v>2</v>
      </c>
      <c r="G332">
        <v>2696</v>
      </c>
      <c r="H332">
        <f t="shared" si="15"/>
        <v>674</v>
      </c>
      <c r="I332">
        <f t="shared" si="16"/>
        <v>1348</v>
      </c>
      <c r="J332">
        <f t="shared" si="17"/>
        <v>1348</v>
      </c>
    </row>
    <row r="333" spans="1:10" x14ac:dyDescent="0.25">
      <c r="A333">
        <v>206</v>
      </c>
      <c r="B333" t="s">
        <v>212</v>
      </c>
      <c r="C333">
        <v>11</v>
      </c>
      <c r="D333">
        <v>7</v>
      </c>
      <c r="E333">
        <v>5</v>
      </c>
      <c r="F333">
        <v>2</v>
      </c>
      <c r="G333">
        <v>2714</v>
      </c>
      <c r="H333">
        <f t="shared" si="15"/>
        <v>387.71428571428572</v>
      </c>
      <c r="I333">
        <f t="shared" si="16"/>
        <v>542.79999999999995</v>
      </c>
      <c r="J333">
        <f t="shared" si="17"/>
        <v>1357</v>
      </c>
    </row>
    <row r="334" spans="1:10" x14ac:dyDescent="0.25">
      <c r="A334">
        <v>160</v>
      </c>
      <c r="B334" t="s">
        <v>166</v>
      </c>
      <c r="C334">
        <v>9</v>
      </c>
      <c r="D334">
        <v>6</v>
      </c>
      <c r="E334">
        <v>6</v>
      </c>
      <c r="F334">
        <v>0</v>
      </c>
      <c r="G334">
        <v>2734</v>
      </c>
      <c r="H334">
        <f t="shared" si="15"/>
        <v>455.66666666666669</v>
      </c>
      <c r="I334">
        <f t="shared" si="16"/>
        <v>455.66666666666669</v>
      </c>
      <c r="J334" t="e">
        <f t="shared" si="17"/>
        <v>#DIV/0!</v>
      </c>
    </row>
    <row r="335" spans="1:10" x14ac:dyDescent="0.25">
      <c r="A335">
        <v>244</v>
      </c>
      <c r="B335" t="s">
        <v>250</v>
      </c>
      <c r="C335">
        <v>12</v>
      </c>
      <c r="D335">
        <v>10</v>
      </c>
      <c r="E335">
        <v>5</v>
      </c>
      <c r="F335">
        <v>5</v>
      </c>
      <c r="G335">
        <v>2746</v>
      </c>
      <c r="H335">
        <f t="shared" si="15"/>
        <v>274.60000000000002</v>
      </c>
      <c r="I335">
        <f t="shared" si="16"/>
        <v>549.20000000000005</v>
      </c>
      <c r="J335">
        <f t="shared" si="17"/>
        <v>549.20000000000005</v>
      </c>
    </row>
    <row r="336" spans="1:10" x14ac:dyDescent="0.25">
      <c r="A336">
        <v>252</v>
      </c>
      <c r="B336" t="s">
        <v>258</v>
      </c>
      <c r="C336">
        <v>21</v>
      </c>
      <c r="D336">
        <v>7</v>
      </c>
      <c r="E336">
        <v>3</v>
      </c>
      <c r="F336">
        <v>4</v>
      </c>
      <c r="G336">
        <v>2759</v>
      </c>
      <c r="H336">
        <f t="shared" si="15"/>
        <v>394.14285714285717</v>
      </c>
      <c r="I336">
        <f t="shared" si="16"/>
        <v>919.66666666666663</v>
      </c>
      <c r="J336">
        <f t="shared" si="17"/>
        <v>689.75</v>
      </c>
    </row>
    <row r="337" spans="1:10" x14ac:dyDescent="0.25">
      <c r="A337">
        <v>80</v>
      </c>
      <c r="B337" t="s">
        <v>86</v>
      </c>
      <c r="C337">
        <v>16</v>
      </c>
      <c r="D337">
        <v>13</v>
      </c>
      <c r="E337">
        <v>2</v>
      </c>
      <c r="F337">
        <v>11</v>
      </c>
      <c r="G337">
        <v>2767</v>
      </c>
      <c r="H337">
        <f t="shared" si="15"/>
        <v>212.84615384615384</v>
      </c>
      <c r="I337">
        <f t="shared" si="16"/>
        <v>1383.5</v>
      </c>
      <c r="J337">
        <f t="shared" si="17"/>
        <v>251.54545454545453</v>
      </c>
    </row>
    <row r="338" spans="1:10" x14ac:dyDescent="0.25">
      <c r="A338">
        <v>123</v>
      </c>
      <c r="B338" t="s">
        <v>129</v>
      </c>
      <c r="C338">
        <v>11</v>
      </c>
      <c r="D338">
        <v>10</v>
      </c>
      <c r="E338">
        <v>6</v>
      </c>
      <c r="F338">
        <v>4</v>
      </c>
      <c r="G338">
        <v>2842</v>
      </c>
      <c r="H338">
        <f t="shared" si="15"/>
        <v>284.2</v>
      </c>
      <c r="I338">
        <f t="shared" si="16"/>
        <v>473.66666666666669</v>
      </c>
      <c r="J338">
        <f t="shared" si="17"/>
        <v>710.5</v>
      </c>
    </row>
    <row r="339" spans="1:10" x14ac:dyDescent="0.25">
      <c r="A339">
        <v>189</v>
      </c>
      <c r="B339" t="s">
        <v>195</v>
      </c>
      <c r="C339">
        <v>15</v>
      </c>
      <c r="D339">
        <v>14</v>
      </c>
      <c r="E339">
        <v>5</v>
      </c>
      <c r="F339">
        <v>9</v>
      </c>
      <c r="G339">
        <v>2861</v>
      </c>
      <c r="H339">
        <f t="shared" si="15"/>
        <v>204.35714285714286</v>
      </c>
      <c r="I339">
        <f t="shared" si="16"/>
        <v>572.20000000000005</v>
      </c>
      <c r="J339">
        <f t="shared" si="17"/>
        <v>317.88888888888891</v>
      </c>
    </row>
    <row r="340" spans="1:10" x14ac:dyDescent="0.25">
      <c r="A340">
        <v>6</v>
      </c>
      <c r="B340" t="s">
        <v>12</v>
      </c>
      <c r="C340">
        <v>9</v>
      </c>
      <c r="D340">
        <v>6</v>
      </c>
      <c r="E340">
        <v>2</v>
      </c>
      <c r="F340">
        <v>4</v>
      </c>
      <c r="G340">
        <v>2866</v>
      </c>
      <c r="H340">
        <f t="shared" si="15"/>
        <v>477.66666666666669</v>
      </c>
      <c r="I340">
        <f t="shared" si="16"/>
        <v>1433</v>
      </c>
      <c r="J340">
        <f t="shared" si="17"/>
        <v>716.5</v>
      </c>
    </row>
    <row r="341" spans="1:10" x14ac:dyDescent="0.25">
      <c r="A341">
        <v>82</v>
      </c>
      <c r="B341" t="s">
        <v>88</v>
      </c>
      <c r="C341">
        <v>8</v>
      </c>
      <c r="D341">
        <v>7</v>
      </c>
      <c r="E341">
        <v>2</v>
      </c>
      <c r="F341">
        <v>5</v>
      </c>
      <c r="G341">
        <v>2894</v>
      </c>
      <c r="H341">
        <f t="shared" si="15"/>
        <v>413.42857142857144</v>
      </c>
      <c r="I341">
        <f t="shared" si="16"/>
        <v>1447</v>
      </c>
      <c r="J341">
        <f t="shared" si="17"/>
        <v>578.79999999999995</v>
      </c>
    </row>
    <row r="342" spans="1:10" x14ac:dyDescent="0.25">
      <c r="A342">
        <v>7</v>
      </c>
      <c r="B342" t="s">
        <v>13</v>
      </c>
      <c r="C342">
        <v>10</v>
      </c>
      <c r="D342">
        <v>7</v>
      </c>
      <c r="E342">
        <v>3</v>
      </c>
      <c r="F342">
        <v>4</v>
      </c>
      <c r="G342">
        <v>2932</v>
      </c>
      <c r="H342">
        <f t="shared" si="15"/>
        <v>418.85714285714283</v>
      </c>
      <c r="I342">
        <f t="shared" si="16"/>
        <v>977.33333333333337</v>
      </c>
      <c r="J342">
        <f t="shared" si="17"/>
        <v>733</v>
      </c>
    </row>
    <row r="343" spans="1:10" x14ac:dyDescent="0.25">
      <c r="A343">
        <v>212</v>
      </c>
      <c r="B343" t="s">
        <v>218</v>
      </c>
      <c r="C343">
        <v>6</v>
      </c>
      <c r="D343">
        <v>3</v>
      </c>
      <c r="E343">
        <v>3</v>
      </c>
      <c r="F343">
        <v>0</v>
      </c>
      <c r="G343">
        <v>2937</v>
      </c>
      <c r="H343">
        <f t="shared" si="15"/>
        <v>979</v>
      </c>
      <c r="I343">
        <f t="shared" si="16"/>
        <v>979</v>
      </c>
      <c r="J343" t="e">
        <f t="shared" si="17"/>
        <v>#DIV/0!</v>
      </c>
    </row>
    <row r="344" spans="1:10" x14ac:dyDescent="0.25">
      <c r="A344">
        <v>190</v>
      </c>
      <c r="B344" t="s">
        <v>196</v>
      </c>
      <c r="C344">
        <v>6</v>
      </c>
      <c r="D344">
        <v>2</v>
      </c>
      <c r="E344">
        <v>1</v>
      </c>
      <c r="F344">
        <v>1</v>
      </c>
      <c r="G344">
        <v>2938</v>
      </c>
      <c r="H344">
        <f t="shared" si="15"/>
        <v>1469</v>
      </c>
      <c r="I344">
        <f t="shared" si="16"/>
        <v>2938</v>
      </c>
      <c r="J344">
        <f t="shared" si="17"/>
        <v>2938</v>
      </c>
    </row>
    <row r="345" spans="1:10" x14ac:dyDescent="0.25">
      <c r="A345">
        <v>192</v>
      </c>
      <c r="B345" t="s">
        <v>198</v>
      </c>
      <c r="C345">
        <v>10</v>
      </c>
      <c r="D345">
        <v>8</v>
      </c>
      <c r="E345">
        <v>3</v>
      </c>
      <c r="F345">
        <v>5</v>
      </c>
      <c r="G345">
        <v>2958</v>
      </c>
      <c r="H345">
        <f t="shared" si="15"/>
        <v>369.75</v>
      </c>
      <c r="I345">
        <f t="shared" si="16"/>
        <v>986</v>
      </c>
      <c r="J345">
        <f t="shared" si="17"/>
        <v>591.6</v>
      </c>
    </row>
    <row r="346" spans="1:10" x14ac:dyDescent="0.25">
      <c r="A346">
        <v>74</v>
      </c>
      <c r="B346" t="s">
        <v>80</v>
      </c>
      <c r="C346">
        <v>3</v>
      </c>
      <c r="D346">
        <v>2</v>
      </c>
      <c r="E346">
        <v>1</v>
      </c>
      <c r="F346">
        <v>1</v>
      </c>
      <c r="G346">
        <v>2977</v>
      </c>
      <c r="H346">
        <f t="shared" si="15"/>
        <v>1488.5</v>
      </c>
      <c r="I346">
        <f t="shared" si="16"/>
        <v>2977</v>
      </c>
      <c r="J346">
        <f t="shared" si="17"/>
        <v>2977</v>
      </c>
    </row>
    <row r="347" spans="1:10" x14ac:dyDescent="0.25">
      <c r="A347">
        <v>150</v>
      </c>
      <c r="B347" t="s">
        <v>156</v>
      </c>
      <c r="C347">
        <v>15</v>
      </c>
      <c r="D347">
        <v>10</v>
      </c>
      <c r="E347">
        <v>4</v>
      </c>
      <c r="F347">
        <v>6</v>
      </c>
      <c r="G347">
        <v>3002</v>
      </c>
      <c r="H347">
        <f t="shared" si="15"/>
        <v>300.2</v>
      </c>
      <c r="I347">
        <f t="shared" si="16"/>
        <v>750.5</v>
      </c>
      <c r="J347">
        <f t="shared" si="17"/>
        <v>500.33333333333331</v>
      </c>
    </row>
    <row r="348" spans="1:10" x14ac:dyDescent="0.25">
      <c r="A348">
        <v>21</v>
      </c>
      <c r="B348" t="s">
        <v>27</v>
      </c>
      <c r="C348">
        <v>19</v>
      </c>
      <c r="D348">
        <v>13</v>
      </c>
      <c r="E348">
        <v>6</v>
      </c>
      <c r="F348">
        <v>7</v>
      </c>
      <c r="G348">
        <v>3002</v>
      </c>
      <c r="H348">
        <f t="shared" si="15"/>
        <v>230.92307692307693</v>
      </c>
      <c r="I348">
        <f t="shared" si="16"/>
        <v>500.33333333333331</v>
      </c>
      <c r="J348">
        <f t="shared" si="17"/>
        <v>428.85714285714283</v>
      </c>
    </row>
    <row r="349" spans="1:10" x14ac:dyDescent="0.25">
      <c r="A349">
        <v>228</v>
      </c>
      <c r="B349" t="s">
        <v>234</v>
      </c>
      <c r="C349">
        <v>7</v>
      </c>
      <c r="D349">
        <v>6</v>
      </c>
      <c r="E349">
        <v>2</v>
      </c>
      <c r="F349">
        <v>4</v>
      </c>
      <c r="G349">
        <v>3034</v>
      </c>
      <c r="H349">
        <f t="shared" si="15"/>
        <v>505.66666666666669</v>
      </c>
      <c r="I349">
        <f t="shared" si="16"/>
        <v>1517</v>
      </c>
      <c r="J349">
        <f t="shared" si="17"/>
        <v>758.5</v>
      </c>
    </row>
    <row r="350" spans="1:10" x14ac:dyDescent="0.25">
      <c r="A350">
        <v>142</v>
      </c>
      <c r="B350" t="s">
        <v>148</v>
      </c>
      <c r="C350">
        <v>25</v>
      </c>
      <c r="D350">
        <v>15</v>
      </c>
      <c r="E350">
        <v>6</v>
      </c>
      <c r="F350">
        <v>9</v>
      </c>
      <c r="G350">
        <v>3087</v>
      </c>
      <c r="H350">
        <f t="shared" si="15"/>
        <v>205.8</v>
      </c>
      <c r="I350">
        <f t="shared" si="16"/>
        <v>514.5</v>
      </c>
      <c r="J350">
        <f t="shared" si="17"/>
        <v>343</v>
      </c>
    </row>
    <row r="351" spans="1:10" x14ac:dyDescent="0.25">
      <c r="A351">
        <v>152</v>
      </c>
      <c r="B351" t="s">
        <v>158</v>
      </c>
      <c r="C351">
        <v>19</v>
      </c>
      <c r="D351">
        <v>6</v>
      </c>
      <c r="E351">
        <v>1</v>
      </c>
      <c r="F351">
        <v>5</v>
      </c>
      <c r="G351">
        <v>3098</v>
      </c>
      <c r="H351">
        <f t="shared" si="15"/>
        <v>516.33333333333337</v>
      </c>
      <c r="I351">
        <f t="shared" si="16"/>
        <v>3098</v>
      </c>
      <c r="J351">
        <f t="shared" si="17"/>
        <v>619.6</v>
      </c>
    </row>
    <row r="352" spans="1:10" x14ac:dyDescent="0.25">
      <c r="A352">
        <v>208</v>
      </c>
      <c r="B352" t="s">
        <v>214</v>
      </c>
      <c r="C352">
        <v>15</v>
      </c>
      <c r="D352">
        <v>14</v>
      </c>
      <c r="E352">
        <v>5</v>
      </c>
      <c r="F352">
        <v>9</v>
      </c>
      <c r="G352">
        <v>3115</v>
      </c>
      <c r="H352">
        <f t="shared" si="15"/>
        <v>222.5</v>
      </c>
      <c r="I352">
        <f t="shared" si="16"/>
        <v>623</v>
      </c>
      <c r="J352">
        <f t="shared" si="17"/>
        <v>346.11111111111109</v>
      </c>
    </row>
    <row r="353" spans="1:10" x14ac:dyDescent="0.25">
      <c r="A353">
        <v>161</v>
      </c>
      <c r="B353" t="s">
        <v>167</v>
      </c>
      <c r="C353">
        <v>13</v>
      </c>
      <c r="D353">
        <v>12</v>
      </c>
      <c r="E353">
        <v>7</v>
      </c>
      <c r="F353">
        <v>5</v>
      </c>
      <c r="G353">
        <v>3117</v>
      </c>
      <c r="H353">
        <f t="shared" si="15"/>
        <v>259.75</v>
      </c>
      <c r="I353">
        <f t="shared" si="16"/>
        <v>445.28571428571428</v>
      </c>
      <c r="J353">
        <f t="shared" si="17"/>
        <v>623.4</v>
      </c>
    </row>
    <row r="354" spans="1:10" x14ac:dyDescent="0.25">
      <c r="A354">
        <v>153</v>
      </c>
      <c r="B354" t="s">
        <v>159</v>
      </c>
      <c r="C354">
        <v>16</v>
      </c>
      <c r="D354">
        <v>15</v>
      </c>
      <c r="E354">
        <v>4</v>
      </c>
      <c r="F354">
        <v>11</v>
      </c>
      <c r="G354">
        <v>3124</v>
      </c>
      <c r="H354">
        <f t="shared" si="15"/>
        <v>208.26666666666668</v>
      </c>
      <c r="I354">
        <f t="shared" si="16"/>
        <v>781</v>
      </c>
      <c r="J354">
        <f t="shared" si="17"/>
        <v>284</v>
      </c>
    </row>
    <row r="355" spans="1:10" x14ac:dyDescent="0.25">
      <c r="A355">
        <v>147</v>
      </c>
      <c r="B355" t="s">
        <v>153</v>
      </c>
      <c r="C355">
        <v>11</v>
      </c>
      <c r="D355">
        <v>9</v>
      </c>
      <c r="E355">
        <v>2</v>
      </c>
      <c r="F355">
        <v>7</v>
      </c>
      <c r="G355">
        <v>3125</v>
      </c>
      <c r="H355">
        <f t="shared" si="15"/>
        <v>347.22222222222223</v>
      </c>
      <c r="I355">
        <f t="shared" si="16"/>
        <v>1562.5</v>
      </c>
      <c r="J355">
        <f t="shared" si="17"/>
        <v>446.42857142857144</v>
      </c>
    </row>
    <row r="356" spans="1:10" x14ac:dyDescent="0.25">
      <c r="A356">
        <v>182</v>
      </c>
      <c r="B356" t="s">
        <v>188</v>
      </c>
      <c r="C356">
        <v>3</v>
      </c>
      <c r="D356">
        <v>1</v>
      </c>
      <c r="E356">
        <v>0</v>
      </c>
      <c r="F356">
        <v>1</v>
      </c>
      <c r="G356">
        <v>3150</v>
      </c>
      <c r="H356">
        <f t="shared" si="15"/>
        <v>3150</v>
      </c>
      <c r="I356" t="e">
        <f t="shared" si="16"/>
        <v>#DIV/0!</v>
      </c>
      <c r="J356">
        <f t="shared" si="17"/>
        <v>3150</v>
      </c>
    </row>
    <row r="357" spans="1:10" x14ac:dyDescent="0.25">
      <c r="A357">
        <v>134</v>
      </c>
      <c r="B357" t="s">
        <v>140</v>
      </c>
      <c r="C357">
        <v>17</v>
      </c>
      <c r="D357">
        <v>14</v>
      </c>
      <c r="E357">
        <v>4</v>
      </c>
      <c r="F357">
        <v>10</v>
      </c>
      <c r="G357">
        <v>3171</v>
      </c>
      <c r="H357">
        <f t="shared" si="15"/>
        <v>226.5</v>
      </c>
      <c r="I357">
        <f t="shared" si="16"/>
        <v>792.75</v>
      </c>
      <c r="J357">
        <f t="shared" si="17"/>
        <v>317.10000000000002</v>
      </c>
    </row>
    <row r="358" spans="1:10" x14ac:dyDescent="0.25">
      <c r="A358">
        <v>19</v>
      </c>
      <c r="B358" t="s">
        <v>25</v>
      </c>
      <c r="C358">
        <v>5</v>
      </c>
      <c r="D358">
        <v>3</v>
      </c>
      <c r="E358">
        <v>0</v>
      </c>
      <c r="F358">
        <v>3</v>
      </c>
      <c r="G358">
        <v>3184</v>
      </c>
      <c r="H358">
        <f t="shared" si="15"/>
        <v>1061.3333333333333</v>
      </c>
      <c r="I358" t="e">
        <f t="shared" si="16"/>
        <v>#DIV/0!</v>
      </c>
      <c r="J358">
        <f t="shared" si="17"/>
        <v>1061.3333333333333</v>
      </c>
    </row>
    <row r="359" spans="1:10" x14ac:dyDescent="0.25">
      <c r="A359">
        <v>174</v>
      </c>
      <c r="B359" t="s">
        <v>180</v>
      </c>
      <c r="C359">
        <v>17</v>
      </c>
      <c r="D359">
        <v>15</v>
      </c>
      <c r="E359">
        <v>5</v>
      </c>
      <c r="F359">
        <v>10</v>
      </c>
      <c r="G359">
        <v>3263</v>
      </c>
      <c r="H359">
        <f t="shared" si="15"/>
        <v>217.53333333333333</v>
      </c>
      <c r="I359">
        <f t="shared" si="16"/>
        <v>652.6</v>
      </c>
      <c r="J359">
        <f t="shared" si="17"/>
        <v>326.3</v>
      </c>
    </row>
    <row r="360" spans="1:10" x14ac:dyDescent="0.25">
      <c r="A360">
        <v>43</v>
      </c>
      <c r="B360" t="s">
        <v>49</v>
      </c>
      <c r="C360">
        <v>10</v>
      </c>
      <c r="D360">
        <v>9</v>
      </c>
      <c r="E360">
        <v>5</v>
      </c>
      <c r="F360">
        <v>4</v>
      </c>
      <c r="G360">
        <v>3282</v>
      </c>
      <c r="H360">
        <f t="shared" si="15"/>
        <v>364.66666666666669</v>
      </c>
      <c r="I360">
        <f t="shared" si="16"/>
        <v>656.4</v>
      </c>
      <c r="J360">
        <f t="shared" si="17"/>
        <v>820.5</v>
      </c>
    </row>
    <row r="361" spans="1:10" x14ac:dyDescent="0.25">
      <c r="A361">
        <v>38</v>
      </c>
      <c r="B361" t="s">
        <v>44</v>
      </c>
      <c r="C361">
        <v>10</v>
      </c>
      <c r="D361">
        <v>8</v>
      </c>
      <c r="E361">
        <v>1</v>
      </c>
      <c r="F361">
        <v>7</v>
      </c>
      <c r="G361">
        <v>3284</v>
      </c>
      <c r="H361">
        <f t="shared" si="15"/>
        <v>410.5</v>
      </c>
      <c r="I361">
        <f t="shared" si="16"/>
        <v>3284</v>
      </c>
      <c r="J361">
        <f t="shared" si="17"/>
        <v>469.14285714285717</v>
      </c>
    </row>
    <row r="362" spans="1:10" x14ac:dyDescent="0.25">
      <c r="A362">
        <v>177</v>
      </c>
      <c r="B362" t="s">
        <v>183</v>
      </c>
      <c r="C362">
        <v>16</v>
      </c>
      <c r="D362">
        <v>14</v>
      </c>
      <c r="E362">
        <v>7</v>
      </c>
      <c r="F362">
        <v>7</v>
      </c>
      <c r="G362">
        <v>3288</v>
      </c>
      <c r="H362">
        <f t="shared" si="15"/>
        <v>234.85714285714286</v>
      </c>
      <c r="I362">
        <f t="shared" si="16"/>
        <v>469.71428571428572</v>
      </c>
      <c r="J362">
        <f t="shared" si="17"/>
        <v>469.71428571428572</v>
      </c>
    </row>
    <row r="363" spans="1:10" x14ac:dyDescent="0.25">
      <c r="A363">
        <v>20</v>
      </c>
      <c r="B363" t="s">
        <v>26</v>
      </c>
      <c r="C363">
        <v>11</v>
      </c>
      <c r="D363">
        <v>10</v>
      </c>
      <c r="E363">
        <v>5</v>
      </c>
      <c r="F363">
        <v>5</v>
      </c>
      <c r="G363">
        <v>3293</v>
      </c>
      <c r="H363">
        <f t="shared" si="15"/>
        <v>329.3</v>
      </c>
      <c r="I363">
        <f t="shared" si="16"/>
        <v>658.6</v>
      </c>
      <c r="J363">
        <f t="shared" si="17"/>
        <v>658.6</v>
      </c>
    </row>
    <row r="364" spans="1:10" x14ac:dyDescent="0.25">
      <c r="A364">
        <v>31</v>
      </c>
      <c r="B364" t="s">
        <v>37</v>
      </c>
      <c r="C364">
        <v>8</v>
      </c>
      <c r="D364">
        <v>7</v>
      </c>
      <c r="E364">
        <v>1</v>
      </c>
      <c r="F364">
        <v>6</v>
      </c>
      <c r="G364">
        <v>3336</v>
      </c>
      <c r="H364">
        <f t="shared" si="15"/>
        <v>476.57142857142856</v>
      </c>
      <c r="I364">
        <f t="shared" si="16"/>
        <v>3336</v>
      </c>
      <c r="J364">
        <f t="shared" si="17"/>
        <v>556</v>
      </c>
    </row>
    <row r="365" spans="1:10" x14ac:dyDescent="0.25">
      <c r="A365">
        <v>5</v>
      </c>
      <c r="B365" t="s">
        <v>11</v>
      </c>
      <c r="C365">
        <v>9</v>
      </c>
      <c r="D365">
        <v>1</v>
      </c>
      <c r="E365">
        <v>0</v>
      </c>
      <c r="F365">
        <v>1</v>
      </c>
      <c r="G365">
        <v>3351</v>
      </c>
      <c r="H365">
        <f t="shared" si="15"/>
        <v>3351</v>
      </c>
      <c r="I365" t="e">
        <f t="shared" si="16"/>
        <v>#DIV/0!</v>
      </c>
      <c r="J365">
        <f t="shared" si="17"/>
        <v>3351</v>
      </c>
    </row>
    <row r="366" spans="1:10" x14ac:dyDescent="0.25">
      <c r="A366">
        <v>98</v>
      </c>
      <c r="B366" t="s">
        <v>104</v>
      </c>
      <c r="C366">
        <v>12</v>
      </c>
      <c r="D366">
        <v>11</v>
      </c>
      <c r="E366">
        <v>7</v>
      </c>
      <c r="F366">
        <v>4</v>
      </c>
      <c r="G366">
        <v>3374</v>
      </c>
      <c r="H366">
        <f t="shared" si="15"/>
        <v>306.72727272727275</v>
      </c>
      <c r="I366">
        <f t="shared" si="16"/>
        <v>482</v>
      </c>
      <c r="J366">
        <f t="shared" si="17"/>
        <v>843.5</v>
      </c>
    </row>
    <row r="367" spans="1:10" x14ac:dyDescent="0.25">
      <c r="A367">
        <v>84</v>
      </c>
      <c r="B367" t="s">
        <v>90</v>
      </c>
      <c r="C367">
        <v>23</v>
      </c>
      <c r="D367">
        <v>21</v>
      </c>
      <c r="E367">
        <v>8</v>
      </c>
      <c r="F367">
        <v>13</v>
      </c>
      <c r="G367">
        <v>3418</v>
      </c>
      <c r="H367">
        <f t="shared" si="15"/>
        <v>162.76190476190476</v>
      </c>
      <c r="I367">
        <f t="shared" si="16"/>
        <v>427.25</v>
      </c>
      <c r="J367">
        <f t="shared" si="17"/>
        <v>262.92307692307691</v>
      </c>
    </row>
    <row r="368" spans="1:10" x14ac:dyDescent="0.25">
      <c r="A368">
        <v>175</v>
      </c>
      <c r="B368" t="s">
        <v>181</v>
      </c>
      <c r="C368">
        <v>14</v>
      </c>
      <c r="D368">
        <v>13</v>
      </c>
      <c r="E368">
        <v>5</v>
      </c>
      <c r="F368">
        <v>8</v>
      </c>
      <c r="G368">
        <v>3427</v>
      </c>
      <c r="H368">
        <f t="shared" si="15"/>
        <v>263.61538461538464</v>
      </c>
      <c r="I368">
        <f t="shared" si="16"/>
        <v>685.4</v>
      </c>
      <c r="J368">
        <f t="shared" si="17"/>
        <v>428.375</v>
      </c>
    </row>
    <row r="369" spans="1:10" x14ac:dyDescent="0.25">
      <c r="A369">
        <v>15</v>
      </c>
      <c r="B369" t="s">
        <v>21</v>
      </c>
      <c r="C369">
        <v>10</v>
      </c>
      <c r="D369">
        <v>4</v>
      </c>
      <c r="E369">
        <v>1</v>
      </c>
      <c r="F369">
        <v>3</v>
      </c>
      <c r="G369">
        <v>3556</v>
      </c>
      <c r="H369">
        <f t="shared" si="15"/>
        <v>889</v>
      </c>
      <c r="I369">
        <f t="shared" si="16"/>
        <v>3556</v>
      </c>
      <c r="J369">
        <f t="shared" si="17"/>
        <v>1185.3333333333333</v>
      </c>
    </row>
    <row r="370" spans="1:10" x14ac:dyDescent="0.25">
      <c r="A370">
        <v>100</v>
      </c>
      <c r="B370" t="s">
        <v>106</v>
      </c>
      <c r="C370">
        <v>13</v>
      </c>
      <c r="D370">
        <v>6</v>
      </c>
      <c r="E370">
        <v>3</v>
      </c>
      <c r="F370">
        <v>3</v>
      </c>
      <c r="G370">
        <v>3575</v>
      </c>
      <c r="H370">
        <f t="shared" si="15"/>
        <v>595.83333333333337</v>
      </c>
      <c r="I370">
        <f t="shared" si="16"/>
        <v>1191.6666666666667</v>
      </c>
      <c r="J370">
        <f t="shared" si="17"/>
        <v>1191.6666666666667</v>
      </c>
    </row>
    <row r="371" spans="1:10" x14ac:dyDescent="0.25">
      <c r="A371">
        <v>13</v>
      </c>
      <c r="B371" t="s">
        <v>19</v>
      </c>
      <c r="C371">
        <v>11</v>
      </c>
      <c r="D371">
        <v>10</v>
      </c>
      <c r="E371">
        <v>5</v>
      </c>
      <c r="F371">
        <v>5</v>
      </c>
      <c r="G371">
        <v>3696</v>
      </c>
      <c r="H371">
        <f t="shared" si="15"/>
        <v>369.6</v>
      </c>
      <c r="I371">
        <f t="shared" si="16"/>
        <v>739.2</v>
      </c>
      <c r="J371">
        <f t="shared" si="17"/>
        <v>739.2</v>
      </c>
    </row>
    <row r="372" spans="1:10" x14ac:dyDescent="0.25">
      <c r="A372">
        <v>68</v>
      </c>
      <c r="B372" t="s">
        <v>74</v>
      </c>
      <c r="C372">
        <v>15</v>
      </c>
      <c r="D372">
        <v>14</v>
      </c>
      <c r="E372">
        <v>7</v>
      </c>
      <c r="F372">
        <v>7</v>
      </c>
      <c r="G372">
        <v>3720</v>
      </c>
      <c r="H372">
        <f t="shared" si="15"/>
        <v>265.71428571428572</v>
      </c>
      <c r="I372">
        <f t="shared" si="16"/>
        <v>531.42857142857144</v>
      </c>
      <c r="J372">
        <f t="shared" si="17"/>
        <v>531.42857142857144</v>
      </c>
    </row>
    <row r="373" spans="1:10" x14ac:dyDescent="0.25">
      <c r="A373">
        <v>73</v>
      </c>
      <c r="B373" t="s">
        <v>79</v>
      </c>
      <c r="C373">
        <v>10</v>
      </c>
      <c r="D373">
        <v>9</v>
      </c>
      <c r="E373">
        <v>2</v>
      </c>
      <c r="F373">
        <v>7</v>
      </c>
      <c r="G373">
        <v>3763</v>
      </c>
      <c r="H373">
        <f t="shared" si="15"/>
        <v>418.11111111111109</v>
      </c>
      <c r="I373">
        <f t="shared" si="16"/>
        <v>1881.5</v>
      </c>
      <c r="J373">
        <f t="shared" si="17"/>
        <v>537.57142857142856</v>
      </c>
    </row>
    <row r="374" spans="1:10" x14ac:dyDescent="0.25">
      <c r="A374">
        <v>28</v>
      </c>
      <c r="B374" t="s">
        <v>34</v>
      </c>
      <c r="C374">
        <v>39</v>
      </c>
      <c r="D374">
        <v>35</v>
      </c>
      <c r="E374">
        <v>8</v>
      </c>
      <c r="F374">
        <v>27</v>
      </c>
      <c r="G374">
        <v>3793</v>
      </c>
      <c r="H374">
        <f t="shared" si="15"/>
        <v>108.37142857142857</v>
      </c>
      <c r="I374">
        <f t="shared" si="16"/>
        <v>474.125</v>
      </c>
      <c r="J374">
        <f t="shared" si="17"/>
        <v>140.4814814814815</v>
      </c>
    </row>
    <row r="375" spans="1:10" x14ac:dyDescent="0.25">
      <c r="A375">
        <v>41</v>
      </c>
      <c r="B375" t="s">
        <v>47</v>
      </c>
      <c r="C375">
        <v>13</v>
      </c>
      <c r="D375">
        <v>12</v>
      </c>
      <c r="E375">
        <v>1</v>
      </c>
      <c r="F375">
        <v>11</v>
      </c>
      <c r="G375">
        <v>3825</v>
      </c>
      <c r="H375">
        <f t="shared" si="15"/>
        <v>318.75</v>
      </c>
      <c r="I375">
        <f t="shared" si="16"/>
        <v>3825</v>
      </c>
      <c r="J375">
        <f t="shared" si="17"/>
        <v>347.72727272727275</v>
      </c>
    </row>
    <row r="376" spans="1:10" x14ac:dyDescent="0.25">
      <c r="A376">
        <v>85</v>
      </c>
      <c r="B376" t="s">
        <v>91</v>
      </c>
      <c r="C376">
        <v>7</v>
      </c>
      <c r="D376">
        <v>5</v>
      </c>
      <c r="E376">
        <v>1</v>
      </c>
      <c r="F376">
        <v>4</v>
      </c>
      <c r="G376">
        <v>3959</v>
      </c>
      <c r="H376">
        <f t="shared" si="15"/>
        <v>791.8</v>
      </c>
      <c r="I376">
        <f t="shared" si="16"/>
        <v>3959</v>
      </c>
      <c r="J376">
        <f t="shared" si="17"/>
        <v>989.75</v>
      </c>
    </row>
    <row r="377" spans="1:10" x14ac:dyDescent="0.25">
      <c r="A377">
        <v>39</v>
      </c>
      <c r="B377" t="s">
        <v>45</v>
      </c>
      <c r="C377">
        <v>17</v>
      </c>
      <c r="D377">
        <v>10</v>
      </c>
      <c r="E377">
        <v>1</v>
      </c>
      <c r="F377">
        <v>9</v>
      </c>
      <c r="G377">
        <v>4048</v>
      </c>
      <c r="H377">
        <f t="shared" si="15"/>
        <v>404.8</v>
      </c>
      <c r="I377">
        <f t="shared" si="16"/>
        <v>4048</v>
      </c>
      <c r="J377">
        <f t="shared" si="17"/>
        <v>449.77777777777777</v>
      </c>
    </row>
    <row r="378" spans="1:10" x14ac:dyDescent="0.25">
      <c r="A378">
        <v>17</v>
      </c>
      <c r="B378" t="s">
        <v>23</v>
      </c>
      <c r="C378">
        <v>24</v>
      </c>
      <c r="D378">
        <v>21</v>
      </c>
      <c r="E378">
        <v>8</v>
      </c>
      <c r="F378">
        <v>13</v>
      </c>
      <c r="G378">
        <v>4208</v>
      </c>
      <c r="H378">
        <f t="shared" si="15"/>
        <v>200.38095238095238</v>
      </c>
      <c r="I378">
        <f t="shared" si="16"/>
        <v>526</v>
      </c>
      <c r="J378">
        <f t="shared" si="17"/>
        <v>323.69230769230768</v>
      </c>
    </row>
    <row r="379" spans="1:10" x14ac:dyDescent="0.25">
      <c r="A379">
        <v>2</v>
      </c>
      <c r="B379" t="s">
        <v>8</v>
      </c>
      <c r="C379">
        <v>19</v>
      </c>
      <c r="D379">
        <v>18</v>
      </c>
      <c r="E379">
        <v>5</v>
      </c>
      <c r="F379">
        <v>13</v>
      </c>
      <c r="G379">
        <v>4215</v>
      </c>
      <c r="H379">
        <f t="shared" si="15"/>
        <v>234.16666666666666</v>
      </c>
      <c r="I379">
        <f t="shared" si="16"/>
        <v>843</v>
      </c>
      <c r="J379">
        <f t="shared" si="17"/>
        <v>324.23076923076923</v>
      </c>
    </row>
    <row r="380" spans="1:10" x14ac:dyDescent="0.25">
      <c r="A380">
        <v>40</v>
      </c>
      <c r="B380" t="s">
        <v>46</v>
      </c>
      <c r="C380">
        <v>12</v>
      </c>
      <c r="D380">
        <v>10</v>
      </c>
      <c r="E380">
        <v>2</v>
      </c>
      <c r="F380">
        <v>8</v>
      </c>
      <c r="G380">
        <v>4223</v>
      </c>
      <c r="H380">
        <f t="shared" si="15"/>
        <v>422.3</v>
      </c>
      <c r="I380">
        <f t="shared" si="16"/>
        <v>2111.5</v>
      </c>
      <c r="J380">
        <f t="shared" si="17"/>
        <v>527.875</v>
      </c>
    </row>
    <row r="381" spans="1:10" x14ac:dyDescent="0.25">
      <c r="A381">
        <v>27</v>
      </c>
      <c r="B381" t="s">
        <v>33</v>
      </c>
      <c r="C381">
        <v>42</v>
      </c>
      <c r="D381">
        <v>40</v>
      </c>
      <c r="E381">
        <v>14</v>
      </c>
      <c r="F381">
        <v>26</v>
      </c>
      <c r="G381">
        <v>4258</v>
      </c>
      <c r="H381">
        <f t="shared" si="15"/>
        <v>106.45</v>
      </c>
      <c r="I381">
        <f t="shared" si="16"/>
        <v>304.14285714285717</v>
      </c>
      <c r="J381">
        <f t="shared" si="17"/>
        <v>163.76923076923077</v>
      </c>
    </row>
    <row r="382" spans="1:10" x14ac:dyDescent="0.25">
      <c r="A382">
        <v>18</v>
      </c>
      <c r="B382" t="s">
        <v>24</v>
      </c>
      <c r="C382">
        <v>29</v>
      </c>
      <c r="D382">
        <v>21</v>
      </c>
      <c r="E382">
        <v>6</v>
      </c>
      <c r="F382">
        <v>15</v>
      </c>
      <c r="G382">
        <v>4431</v>
      </c>
      <c r="H382">
        <f t="shared" si="15"/>
        <v>211</v>
      </c>
      <c r="I382">
        <f t="shared" si="16"/>
        <v>738.5</v>
      </c>
      <c r="J382">
        <f t="shared" si="17"/>
        <v>295.39999999999998</v>
      </c>
    </row>
  </sheetData>
  <sortState xmlns:xlrd2="http://schemas.microsoft.com/office/spreadsheetml/2017/richdata2" ref="A2:J425">
    <sortCondition ref="G1:G425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number of discussion</vt:lpstr>
      <vt:lpstr>frequency of discussion</vt:lpstr>
      <vt:lpstr>no discussion rate over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Collins Yang</cp:lastModifiedBy>
  <dcterms:created xsi:type="dcterms:W3CDTF">2021-12-07T02:52:12Z</dcterms:created>
  <dcterms:modified xsi:type="dcterms:W3CDTF">2021-12-08T02:12:48Z</dcterms:modified>
</cp:coreProperties>
</file>